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Backlog" sheetId="2" state="visible" r:id="rId4"/>
  </sheets>
  <definedNames>
    <definedName function="false" hidden="true" localSheetId="1" name="_xlnm._FilterDatabase" vbProcedure="false">Backlog!$A$1:$I$145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<sst xmlns="http://schemas.openxmlformats.org/spreadsheetml/2006/main" count="1081" uniqueCount="347">
  <si>
    <t xml:space="preserve">Reactafy — progreso del backlog</t>
  </si>
  <si>
    <t xml:space="preserve">Se calcula solo a partir de la columna Estado de la hoja Backlog.</t>
  </si>
  <si>
    <t xml:space="preserve">Épica</t>
  </si>
  <si>
    <t xml:space="preserve">Total</t>
  </si>
  <si>
    <t xml:space="preserve">✅ Terminado</t>
  </si>
  <si>
    <t xml:space="preserve">🔄 En curso</t>
  </si>
  <si>
    <t xml:space="preserve">% terminado</t>
  </si>
  <si>
    <t xml:space="preserve">1. Arquitectura e infraestructura técnica</t>
  </si>
  <si>
    <t xml:space="preserve">2. Listado de productos (PLP)</t>
  </si>
  <si>
    <t xml:space="preserve">3. Página de producto (PDP)</t>
  </si>
  <si>
    <t xml:space="preserve">4. Carrito y checkout</t>
  </si>
  <si>
    <t xml:space="preserve">5. Autenticación y cuenta de cliente</t>
  </si>
  <si>
    <t xml:space="preserve">6. Layout y contenido</t>
  </si>
  <si>
    <t xml:space="preserve">7. Puesta en producción (go-live)</t>
  </si>
  <si>
    <t xml:space="preserve">Glosario</t>
  </si>
  <si>
    <t xml:space="preserve">Backlog</t>
  </si>
  <si>
    <t xml:space="preserve">Lista ordenada de todo el trabajo pendiente del producto.</t>
  </si>
  <si>
    <t xml:space="preserve">Bloque grande de trabajo con un objetivo común; dura varias semanas.</t>
  </si>
  <si>
    <t xml:space="preserve">Historia de usuario</t>
  </si>
  <si>
    <t xml:space="preserve">Algo que el cliente nota: «como cliente, quiero filtrar por marca».</t>
  </si>
  <si>
    <t xml:space="preserve">Tarea técnica</t>
  </si>
  <si>
    <t xml:space="preserve">Trabajo necesario que el usuario no ve (caché, SEO, despliegue).</t>
  </si>
  <si>
    <t xml:space="preserve">Spike</t>
  </si>
  <si>
    <t xml:space="preserve">Investigación o decisión acotada en el tiempo, antes de construir.</t>
  </si>
  <si>
    <t xml:space="preserve">QA</t>
  </si>
  <si>
    <t xml:space="preserve">Quality Assurance: pruebas.</t>
  </si>
  <si>
    <t xml:space="preserve">Bloqueada por</t>
  </si>
  <si>
    <t xml:space="preserve">Tarea que tiene que estar hecha antes (en Jira, «blocked by»).</t>
  </si>
  <si>
    <t xml:space="preserve">PLP / PDP</t>
  </si>
  <si>
    <t xml:space="preserve">Product Listing Page (listado) / Product Detail Page (ficha).</t>
  </si>
  <si>
    <t xml:space="preserve">Go-live</t>
  </si>
  <si>
    <t xml:space="preserve">Puesta en producción: el día que el sistema nuevo sustituye al antiguo.</t>
  </si>
  <si>
    <t xml:space="preserve">Estado</t>
  </si>
  <si>
    <t xml:space="preserve">Cámbialo en la hoja Backlog con el desplegable: ⬜ Pendiente, 🔄 En curso, ✅ Terminado.</t>
  </si>
  <si>
    <t xml:space="preserve">ID</t>
  </si>
  <si>
    <t xml:space="preserve">Tipo</t>
  </si>
  <si>
    <t xml:space="preserve">Historia / tarea</t>
  </si>
  <si>
    <t xml:space="preserve">Subtarea</t>
  </si>
  <si>
    <t xml:space="preserve">Descripción</t>
  </si>
  <si>
    <t xml:space="preserve">Área</t>
  </si>
  <si>
    <t xml:space="preserve">⬜ Pendiente</t>
  </si>
  <si>
    <t xml:space="preserve">Enrutado Next / WordPress</t>
  </si>
  <si>
    <t xml:space="preserve">Definir hostname de origen de WordPress</t>
  </si>
  <si>
    <t xml:space="preserve">aguafy.com apuntará a Next; WordPress necesita otro nombre (p. ej. wp.aguafy.com o el origen de Hostinger) para que Next le reenvíe lo que no sirva él.</t>
  </si>
  <si>
    <t xml:space="preserve">Spike / decisión</t>
  </si>
  <si>
    <t xml:space="preserve">Listar lo que sigue sirviendo WordPress</t>
  </si>
  <si>
    <t xml:space="preserve">Blog (artículos en la raíz /{slug}/ y /category/), checkout (/finalizar-compra/), wp-admin, wp-login, wp-json, wp-content (imágenes), feeds.</t>
  </si>
  <si>
    <t xml:space="preserve">Reenvío automático a WordPress (fallback)</t>
  </si>
  <si>
    <t xml:space="preserve">En next.config usar rewrites.fallback: toda URL que Next no tenga se sirve desde WordPress. Así el blog y cualquier página nueva de WP funcionan sin mantener una lista a mano.</t>
  </si>
  <si>
    <t xml:space="preserve">Frontend (Next)</t>
  </si>
  <si>
    <t xml:space="preserve">Comprobar cookies entre Next y WordPress</t>
  </si>
  <si>
    <t xml:space="preserve">Que la sesión y el carrito sobrevivan al ir al checkout de WP y volver (dominio de las cookies, SameSite).</t>
  </si>
  <si>
    <t xml:space="preserve">Frontend + Backend</t>
  </si>
  <si>
    <t xml:space="preserve">Probar el blog servido a través de Next</t>
  </si>
  <si>
    <t xml:space="preserve">Abrir 3 artículos, una categoría de blog y el feed; deben verse igual que hoy, con sus canonical apuntando a aguafy.com.</t>
  </si>
  <si>
    <t xml:space="preserve">Enlaces del menú y pie al blog</t>
  </si>
  <si>
    <t xml:space="preserve">El enlace 'Blog' del menú apunta a /blog (que hoy no existe en el sitemap): confirmar la URL real del listado.</t>
  </si>
  <si>
    <t xml:space="preserve">URLs de producto con slug</t>
  </si>
  <si>
    <t xml:space="preserve">Decidir slug de padre o de variación</t>
  </si>
  <si>
    <t xml:space="preserve">aguafy.com usa el slug del producto padre (/producto/acqua-panna/). Decidir cómo se selecciona la variación dentro (parámetro, selector) sin crear URLs duplicadas.</t>
  </si>
  <si>
    <t xml:space="preserve">API: devolver slug en cada producto</t>
  </si>
  <si>
    <t xml:space="preserve">Añadir 'slug' (y el del padre) en reactafy_get_product_summary.</t>
  </si>
  <si>
    <t xml:space="preserve">Backend (WordPress)</t>
  </si>
  <si>
    <t xml:space="preserve">API: buscar producto por slug</t>
  </si>
  <si>
    <t xml:space="preserve">Nuevo endpoint o parámetro: /products/by-slug/{slug} que devuelva el grupo y sus variaciones.</t>
  </si>
  <si>
    <t xml:space="preserve">Mover la ruta a app/producto/[slug]</t>
  </si>
  <si>
    <t xml:space="preserve">Sustituir app/producto/[id]; 404 si el slug no existe.</t>
  </si>
  <si>
    <t xml:space="preserve">Actualizar enlaces</t>
  </si>
  <si>
    <t xml:space="preserve">Tarjetas, carrito, página de pedido y cualquier Link a /producto/{id}.</t>
  </si>
  <si>
    <t xml:space="preserve">Probar las 50 URLs del sitemap</t>
  </si>
  <si>
    <t xml:space="preserve">Recorrer las URLs de producto del sitemap actual y comprobar que todas abren en Reactafy.</t>
  </si>
  <si>
    <t xml:space="preserve">Caché del catálogo en Next</t>
  </si>
  <si>
    <t xml:space="preserve">Leer la documentación de caché de Next 16</t>
  </si>
  <si>
    <t xml:space="preserve">AGENTS.md avisa de cambios: revisar node_modules/next/dist/docs (use cache / revalidate) antes de elegir.</t>
  </si>
  <si>
    <t xml:space="preserve">Cachear la lista de productos</t>
  </si>
  <si>
    <t xml:space="preserve">getProducts cacheado por página y filtros, con un tiempo de revalidación.</t>
  </si>
  <si>
    <t xml:space="preserve">Cachear la ficha de producto</t>
  </si>
  <si>
    <t xml:space="preserve">getProduct por slug cacheado.</t>
  </si>
  <si>
    <t xml:space="preserve">Etiquetas de caché por producto</t>
  </si>
  <si>
    <t xml:space="preserve">Etiquetar cada respuesta (producto, marca, categoría) para poder invalidar solo lo que cambia.</t>
  </si>
  <si>
    <t xml:space="preserve">Ruta de revalidación en Next</t>
  </si>
  <si>
    <t xml:space="preserve">Endpoint protegido con el secreto compartido que invalida etiquetas.</t>
  </si>
  <si>
    <t xml:space="preserve">Aviso desde WordPress al guardar</t>
  </si>
  <si>
    <t xml:space="preserve">Hook al guardar producto, variación o regla de ADP que llama a la ruta de revalidación de Next y purga LiteSpeed.</t>
  </si>
  <si>
    <t xml:space="preserve">TTL de respaldo</t>
  </si>
  <si>
    <t xml:space="preserve">Tiempo máximo de caché aunque falle el aviso (reglas de ADP con fechas no disparan ningún guardado).</t>
  </si>
  <si>
    <t xml:space="preserve">Medir en modo producción</t>
  </si>
  <si>
    <t xml:space="preserve">next build &amp;&amp; next start; comparar /tienda y una ficha con los ~157 ms de aguafy.com.</t>
  </si>
  <si>
    <t xml:space="preserve">Filtros y orden de la tienda</t>
  </si>
  <si>
    <t xml:space="preserve">API: opciones de filtro</t>
  </si>
  <si>
    <t xml:space="preserve">Endpoint que devuelva marcas, tipos de envase y características con sus slugs, leídos de las taxonomías/atributos de Woo.</t>
  </si>
  <si>
    <t xml:space="preserve">API: filtrar productos</t>
  </si>
  <si>
    <t xml:space="preserve">Parámetros brand, envase, caracteristica en /products (combinables).</t>
  </si>
  <si>
    <t xml:space="preserve">API: ordenar productos</t>
  </si>
  <si>
    <t xml:space="preserve">Parámetro orderby: menu_order, price, price-desc (el orden por precio debe usar el precio de invitado).</t>
  </si>
  <si>
    <t xml:space="preserve">Estado en la URL</t>
  </si>
  <si>
    <t xml:space="preserve">Leer y escribir filtros y orden en searchParams; al cambiar filtro vuelve a la primera página.</t>
  </si>
  <si>
    <t xml:space="preserve">Componente de filtros</t>
  </si>
  <si>
    <t xml:space="preserve">Casillas de marca, envase y características; botón 'Limpiar filtros'.</t>
  </si>
  <si>
    <t xml:space="preserve">Selector de orden</t>
  </si>
  <si>
    <t xml:space="preserve">Por defecto / precio menor a mayor / precio mayor a menor.</t>
  </si>
  <si>
    <t xml:space="preserve">Filtros en móvil</t>
  </si>
  <si>
    <t xml:space="preserve">Panel desplegable para pantallas pequeñas.</t>
  </si>
  <si>
    <t xml:space="preserve">Sin resultados</t>
  </si>
  <si>
    <t xml:space="preserve">Mensaje y acceso a limpiar filtros cuando la combinación no devuelve nada.</t>
  </si>
  <si>
    <t xml:space="preserve">Cargar más con filtros</t>
  </si>
  <si>
    <t xml:space="preserve">'Cargar más' / scroll infinito respeta los filtros activos.</t>
  </si>
  <si>
    <t xml:space="preserve">Páginas de marca y categoría</t>
  </si>
  <si>
    <t xml:space="preserve">Ruta /brand/[slug]</t>
  </si>
  <si>
    <t xml:space="preserve">Tienda con filtro de marca fijo; 404 si la marca no existe.</t>
  </si>
  <si>
    <t xml:space="preserve">Banner de marca</t>
  </si>
  <si>
    <t xml:space="preserve">Mostrar el banner de la marca (datos desde WP).</t>
  </si>
  <si>
    <t xml:space="preserve">Ruta /categoria-producto/[...slug]</t>
  </si>
  <si>
    <t xml:space="preserve">Incluye subcategorías (agua/agua-gasificada).</t>
  </si>
  <si>
    <t xml:space="preserve">Título y descripción de marca/categoría</t>
  </si>
  <si>
    <t xml:space="preserve">Nombre y texto de la taxonomía como h1 y metadatos.</t>
  </si>
  <si>
    <t xml:space="preserve">Probar las 22 marcas y 6 categorías</t>
  </si>
  <si>
    <t xml:space="preserve">Recorrer las URLs del sitemap.</t>
  </si>
  <si>
    <t xml:space="preserve">Insignias y agotados</t>
  </si>
  <si>
    <t xml:space="preserve">Insignia 'Nuevo'</t>
  </si>
  <si>
    <t xml:space="preserve">Desde editorial.isNew.</t>
  </si>
  <si>
    <t xml:space="preserve">Insignia 'Últimas unidades'</t>
  </si>
  <si>
    <t xml:space="preserve">Desde editorial.isLowStock.</t>
  </si>
  <si>
    <t xml:space="preserve">Insignia de descuento</t>
  </si>
  <si>
    <t xml:space="preserve">Cuando el precio tiene 'Desde' o hay regla de ADP activa (dato desde WP).</t>
  </si>
  <si>
    <t xml:space="preserve">Producto agotado</t>
  </si>
  <si>
    <t xml:space="preserve">Se muestra con aviso y sin botón de añadir (stock.status = out_of_stock).</t>
  </si>
  <si>
    <t xml:space="preserve">Búsqueda</t>
  </si>
  <si>
    <t xml:space="preserve">API: parámetro search</t>
  </si>
  <si>
    <t xml:space="preserve">Búsqueda en Woo por nombre, marca y SKU.</t>
  </si>
  <si>
    <t xml:space="preserve">Búsqueda en /tienda?search=</t>
  </si>
  <si>
    <t xml:space="preserve">Combinable con filtros y orden.</t>
  </si>
  <si>
    <t xml:space="preserve">Panel de búsqueda en la cabecera</t>
  </si>
  <si>
    <t xml:space="preserve">Resultados mientras escribes, con retardo y cancelación de peticiones anteriores.</t>
  </si>
  <si>
    <t xml:space="preserve">Sin resultados de búsqueda</t>
  </si>
  <si>
    <t xml:space="preserve">Mensaje y sugerencia de ver toda la tienda.</t>
  </si>
  <si>
    <t xml:space="preserve">Selector de variación</t>
  </si>
  <si>
    <t xml:space="preserve">Datos de las variaciones del grupo</t>
  </si>
  <si>
    <t xml:space="preserve">La ficha recibe todas las variaciones con sus atributos (sabor, tamaño).</t>
  </si>
  <si>
    <t xml:space="preserve">Selector de sabor</t>
  </si>
  <si>
    <t xml:space="preserve">Botones/lista con los sabores disponibles.</t>
  </si>
  <si>
    <t xml:space="preserve">Selector de tamaño</t>
  </si>
  <si>
    <t xml:space="preserve">Solo tamaños disponibles para el sabor elegido.</t>
  </si>
  <si>
    <t xml:space="preserve">Cambiar imagen, precio y stock al elegir</t>
  </si>
  <si>
    <t xml:space="preserve">Sin recargar la página.</t>
  </si>
  <si>
    <t xml:space="preserve">Variación en la URL</t>
  </si>
  <si>
    <t xml:space="preserve">Parámetro para compartir una variación concreta sin crear URL indexable nueva (canonical al padre).</t>
  </si>
  <si>
    <t xml:space="preserve">Precio por cantidad y pedido mínimo</t>
  </si>
  <si>
    <t xml:space="preserve">API: tabla de descuentos de ADP</t>
  </si>
  <si>
    <t xml:space="preserve">Devolver los tramos (desde X unidades → precio) calculados por ADP.</t>
  </si>
  <si>
    <t xml:space="preserve">Tabla de descuentos en la ficha</t>
  </si>
  <si>
    <t xml:space="preserve">Mostrar los tramos; se oculta si no hay.</t>
  </si>
  <si>
    <t xml:space="preserve">API: pedido mínimo</t>
  </si>
  <si>
    <t xml:space="preserve">Exponer el importe mínimo desde la configuración real de WooCommerce.</t>
  </si>
  <si>
    <t xml:space="preserve">Aviso de pedido mínimo y envío gratis</t>
  </si>
  <si>
    <t xml:space="preserve">Texto con el importe que devuelve la API.</t>
  </si>
  <si>
    <t xml:space="preserve">Resto de la ficha</t>
  </si>
  <si>
    <t xml:space="preserve">Contenido: SKU y '15 botellas de 750 ml'</t>
  </si>
  <si>
    <t xml:space="preserve">Desde atributos cantidad y volumen.</t>
  </si>
  <si>
    <t xml:space="preserve">Cantidad − / + y añadir al carrito</t>
  </si>
  <si>
    <t xml:space="preserve">Con estado de carga y error.</t>
  </si>
  <si>
    <t xml:space="preserve">'(N cajas en tu cesta)'</t>
  </si>
  <si>
    <t xml:space="preserve">Unidades de esa variación ya en el carrito, desde CartContext.</t>
  </si>
  <si>
    <t xml:space="preserve">Pestaña 'Características'</t>
  </si>
  <si>
    <t xml:space="preserve">Atributos del producto.</t>
  </si>
  <si>
    <t xml:space="preserve">Pestaña 'Sobre la marca'</t>
  </si>
  <si>
    <t xml:space="preserve">Descripción de la marca (dato desde WP).</t>
  </si>
  <si>
    <t xml:space="preserve">Migas de pan</t>
  </si>
  <si>
    <t xml:space="preserve">Tienda › Marca › Producto, con datos estructurados.</t>
  </si>
  <si>
    <t xml:space="preserve">Relacionados 'Te puede interesar'</t>
  </si>
  <si>
    <t xml:space="preserve">Slider con productos relacionados (fuente: WP).</t>
  </si>
  <si>
    <t xml:space="preserve">Banners de ficha</t>
  </si>
  <si>
    <t xml:space="preserve">CPT banner-single-prod asociado al producto.</t>
  </si>
  <si>
    <t xml:space="preserve">Galería/imagen optimizada</t>
  </si>
  <si>
    <t xml:space="preserve">Imagen principal con prioridad alta y tamaños correctos.</t>
  </si>
  <si>
    <t xml:space="preserve">Carrito en panel lateral</t>
  </si>
  <si>
    <t xml:space="preserve">Componente de panel lateral</t>
  </si>
  <si>
    <t xml:space="preserve">Se abre al añadir y desde la cabecera; se cierra con Esc y fondo.</t>
  </si>
  <si>
    <t xml:space="preserve">Líneas del carrito</t>
  </si>
  <si>
    <t xml:space="preserve">Imagen, nombre, contenido, precio, cantidad − / +, eliminar.</t>
  </si>
  <si>
    <t xml:space="preserve">Resumen</t>
  </si>
  <si>
    <t xml:space="preserve">Subtotal, tasas y nota 'envío calculado en checkout'.</t>
  </si>
  <si>
    <t xml:space="preserve">Contador en la cabecera</t>
  </si>
  <si>
    <t xml:space="preserve">Número de productos desde CartContext.</t>
  </si>
  <si>
    <t xml:space="preserve">Estados de carga y error</t>
  </si>
  <si>
    <t xml:space="preserve">Deshabilitar botones mientras Woo responde; mensaje si falla.</t>
  </si>
  <si>
    <t xml:space="preserve">Actualización optimista (opcional)</t>
  </si>
  <si>
    <t xml:space="preserve">Mostrar el cambio al instante y corregir si Woo responde distinto.</t>
  </si>
  <si>
    <t xml:space="preserve">Botón 'Finalizar compra'</t>
  </si>
  <si>
    <t xml:space="preserve">Lleva al checkout de WordPress con la sesión transferida.</t>
  </si>
  <si>
    <t xml:space="preserve">Pedido mínimo en el carrito</t>
  </si>
  <si>
    <t xml:space="preserve">API: lo que falta para el mínimo</t>
  </si>
  <si>
    <t xml:space="preserve">Calculado por Woo con el carrito real.</t>
  </si>
  <si>
    <t xml:space="preserve">Barra 'Te faltan MXN X'</t>
  </si>
  <si>
    <t xml:space="preserve">Progreso hacia el mínimo.</t>
  </si>
  <si>
    <t xml:space="preserve">Bloquear 'Finalizar compra'</t>
  </si>
  <si>
    <t xml:space="preserve">Deshabilitado hasta llegar al mínimo; WooCommerce también lo valida.</t>
  </si>
  <si>
    <t xml:space="preserve">Cupones</t>
  </si>
  <si>
    <t xml:space="preserve">Decidir dónde se aplican</t>
  </si>
  <si>
    <t xml:space="preserve">¿Solo en el checkout de WP o también en el carrito de Next?</t>
  </si>
  <si>
    <t xml:space="preserve">Probar el checkout</t>
  </si>
  <si>
    <t xml:space="preserve">Invitado: compra completada</t>
  </si>
  <si>
    <t xml:space="preserve">Datos de facturación y envío, pago correcto, página de pedido.</t>
  </si>
  <si>
    <t xml:space="preserve">Usuario logueado: compra completada</t>
  </si>
  <si>
    <t xml:space="preserve">Precios de su rol aplicados en el pedido.</t>
  </si>
  <si>
    <t xml:space="preserve">Pago fallido</t>
  </si>
  <si>
    <t xml:space="preserve">Mensaje y posibilidad de reintentar.</t>
  </si>
  <si>
    <t xml:space="preserve">Pago cancelado</t>
  </si>
  <si>
    <t xml:space="preserve">Vuelta al carrito sin perderlo.</t>
  </si>
  <si>
    <t xml:space="preserve">Pedido por debajo del mínimo</t>
  </si>
  <si>
    <t xml:space="preserve">WooCommerce lo rechaza aunque se salte Next.</t>
  </si>
  <si>
    <t xml:space="preserve">Cotización: imprimir PDF</t>
  </si>
  <si>
    <t xml:space="preserve">Paridad con /cotizacion/: resumen del carrito imprimible.</t>
  </si>
  <si>
    <t xml:space="preserve">Registro</t>
  </si>
  <si>
    <t xml:space="preserve">Registro con email y contraseña</t>
  </si>
  <si>
    <t xml:space="preserve">Endpoint protegido con secreto, wc_create_new_customer, validación de contraseña.</t>
  </si>
  <si>
    <t xml:space="preserve">Conservar carrito del invitado al registrarse</t>
  </si>
  <si>
    <t xml:space="preserve">Probar: añadir como invitado, registrarse, el carrito sigue.</t>
  </si>
  <si>
    <t xml:space="preserve">Freno antibots</t>
  </si>
  <si>
    <t xml:space="preserve">reCAPTCHA o límite de intentos por IP en la ruta de Next.</t>
  </si>
  <si>
    <t xml:space="preserve">Enlaces entre login y registro</t>
  </si>
  <si>
    <t xml:space="preserve">Desde /login a /registro y al revés.</t>
  </si>
  <si>
    <t xml:space="preserve">Recuperar contraseña</t>
  </si>
  <si>
    <t xml:space="preserve">API: solicitar recuperación</t>
  </si>
  <si>
    <t xml:space="preserve">Envía el email de WooCommerce/WordPress con el enlace (sin revelar si el email existe).</t>
  </si>
  <si>
    <t xml:space="preserve">API: fijar nueva contraseña</t>
  </si>
  <si>
    <t xml:space="preserve">Valida el token y usa reactafy_validate_password.</t>
  </si>
  <si>
    <t xml:space="preserve">Página 'He olvidado mi contraseña'</t>
  </si>
  <si>
    <t xml:space="preserve">Formulario de email.</t>
  </si>
  <si>
    <t xml:space="preserve">Página de nueva contraseña</t>
  </si>
  <si>
    <t xml:space="preserve">Recibe el token del enlace del email.</t>
  </si>
  <si>
    <t xml:space="preserve">Enlace del email apunta a Next</t>
  </si>
  <si>
    <t xml:space="preserve">El email de recuperación lleva a la página de Next, no a wp-login.</t>
  </si>
  <si>
    <t xml:space="preserve">Zona de usuario</t>
  </si>
  <si>
    <t xml:space="preserve">API: datos de la cuenta</t>
  </si>
  <si>
    <t xml:space="preserve">Solo del usuario autenticado por JWT.</t>
  </si>
  <si>
    <t xml:space="preserve">API: lista de pedidos</t>
  </si>
  <si>
    <t xml:space="preserve">Paginada, solo del usuario autenticado.</t>
  </si>
  <si>
    <t xml:space="preserve">API: detalle de pedido</t>
  </si>
  <si>
    <t xml:space="preserve">Comprobando que el pedido es del usuario.</t>
  </si>
  <si>
    <t xml:space="preserve">Página de cuenta</t>
  </si>
  <si>
    <t xml:space="preserve">Datos del usuario.</t>
  </si>
  <si>
    <t xml:space="preserve">Historial de pedidos</t>
  </si>
  <si>
    <t xml:space="preserve">Listado con estado y total.</t>
  </si>
  <si>
    <t xml:space="preserve">Detalle de pedido</t>
  </si>
  <si>
    <t xml:space="preserve">Líneas, totales, dirección y estado.</t>
  </si>
  <si>
    <t xml:space="preserve">Cambiar contraseña</t>
  </si>
  <si>
    <t xml:space="preserve">Con reactafy_validate_password.</t>
  </si>
  <si>
    <t xml:space="preserve">Proteger las rutas de cuenta</t>
  </si>
  <si>
    <t xml:space="preserve">Redirigir a /login si no hay sesión.</t>
  </si>
  <si>
    <t xml:space="preserve">Sesión</t>
  </si>
  <si>
    <t xml:space="preserve">Caducidad del JWT</t>
  </si>
  <si>
    <t xml:space="preserve">Detectar token caducado (401) y cerrar sesión limpia o pedir login, sin romper la página.</t>
  </si>
  <si>
    <t xml:space="preserve">Unificar login</t>
  </si>
  <si>
    <t xml:space="preserve">Decidir qué pasa con /aguafy-login/ y /mi-cuenta/ (redirigir a las páginas de Next).</t>
  </si>
  <si>
    <t xml:space="preserve">Cabecera y pie</t>
  </si>
  <si>
    <t xml:space="preserve">Menú principal</t>
  </si>
  <si>
    <t xml:space="preserve">Tienda, Somos, Contacto, Blog.</t>
  </si>
  <si>
    <t xml:space="preserve">Teléfono y WhatsApp</t>
  </si>
  <si>
    <t xml:space="preserve">En cabecera y pie.</t>
  </si>
  <si>
    <t xml:space="preserve">Acceso a cuenta / cerrar sesión</t>
  </si>
  <si>
    <t xml:space="preserve">Icono con estado según sesión.</t>
  </si>
  <si>
    <t xml:space="preserve">Menú móvil</t>
  </si>
  <si>
    <t xml:space="preserve">Toggle y panel lateral.</t>
  </si>
  <si>
    <t xml:space="preserve">Carrusel de marcas</t>
  </si>
  <si>
    <t xml:space="preserve">Logos de marcas enlazando a /brand/ (lista desde WP).</t>
  </si>
  <si>
    <t xml:space="preserve">Pie completo</t>
  </si>
  <si>
    <t xml:space="preserve">Bloques de servicio, enlaces, políticas, redes sociales.</t>
  </si>
  <si>
    <t xml:space="preserve">Notificaciones (toast)</t>
  </si>
  <si>
    <t xml:space="preserve">Añadido al carrito, errores.</t>
  </si>
  <si>
    <t xml:space="preserve">Inicio</t>
  </si>
  <si>
    <t xml:space="preserve">Slider principal</t>
  </si>
  <si>
    <t xml:space="preserve">Imágenes y textos gestionables desde WP.</t>
  </si>
  <si>
    <t xml:space="preserve">Productos destacados</t>
  </si>
  <si>
    <t xml:space="preserve">Desde editorial.isFeatured.</t>
  </si>
  <si>
    <t xml:space="preserve">Bloque de ventajas</t>
  </si>
  <si>
    <t xml:space="preserve">Cobertura CDMX/Edomex, flota propia…</t>
  </si>
  <si>
    <t xml:space="preserve">Reseñas de Google (5 % de descuento)</t>
  </si>
  <si>
    <t xml:space="preserve">Bloque con enlace a Google Maps.</t>
  </si>
  <si>
    <t xml:space="preserve">Páginas de contenido</t>
  </si>
  <si>
    <t xml:space="preserve">About</t>
  </si>
  <si>
    <t xml:space="preserve">Contacto</t>
  </si>
  <si>
    <t xml:space="preserve">WhatsApp, teléfono, email, dirección y horarios.</t>
  </si>
  <si>
    <t xml:space="preserve">FAQ</t>
  </si>
  <si>
    <t xml:space="preserve">Pestañas y acordeón.</t>
  </si>
  <si>
    <t xml:space="preserve">Política de privacidad</t>
  </si>
  <si>
    <t xml:space="preserve">Página propia (hoy es una pestaña de FAQ).</t>
  </si>
  <si>
    <t xml:space="preserve">Política de devolución</t>
  </si>
  <si>
    <t xml:space="preserve">Landing de promoción</t>
  </si>
  <si>
    <t xml:space="preserve">/mix-especial-26/.</t>
  </si>
  <si>
    <t xml:space="preserve">Decidir qué pasa con /rutas/</t>
  </si>
  <si>
    <t xml:space="preserve">Hoy está vacía y el enlace del pie no funciona.</t>
  </si>
  <si>
    <t xml:space="preserve">SEO técnico</t>
  </si>
  <si>
    <t xml:space="preserve">title y description por página</t>
  </si>
  <si>
    <t xml:space="preserve">Con generateMetadata en cada ruta.</t>
  </si>
  <si>
    <t xml:space="preserve">Canonical</t>
  </si>
  <si>
    <t xml:space="preserve">En todas las páginas; fichas con variación apuntan al padre.</t>
  </si>
  <si>
    <t xml:space="preserve">Open Graph</t>
  </si>
  <si>
    <t xml:space="preserve">Imagen, título y descripción para compartir.</t>
  </si>
  <si>
    <t xml:space="preserve">Datos estructurados</t>
  </si>
  <si>
    <t xml:space="preserve">Product (precio, stock) y BreadcrumbList.</t>
  </si>
  <si>
    <t xml:space="preserve">Sitemap nuevo</t>
  </si>
  <si>
    <t xml:space="preserve">Generado desde la API: productos, marcas, categorías, páginas; sin banners, autor, test-prod ni sin-categorizar. Enlazar el sitemap del blog de WP.</t>
  </si>
  <si>
    <t xml:space="preserve">robots.txt</t>
  </si>
  <si>
    <t xml:space="preserve">Página 404</t>
  </si>
  <si>
    <t xml:space="preserve">not-found.tsx.</t>
  </si>
  <si>
    <t xml:space="preserve">loading.tsx y error.tsx en tienda, ficha, carrito y cuenta.</t>
  </si>
  <si>
    <t xml:space="preserve">Redirecciones</t>
  </si>
  <si>
    <t xml:space="preserve">Inventario de URLs que cambian</t>
  </si>
  <si>
    <t xml:space="preserve">Comparar sitemap actual con las rutas nuevas.</t>
  </si>
  <si>
    <t xml:space="preserve">Redirecciones 301 automáticas</t>
  </si>
  <si>
    <t xml:space="preserve">Resolver URLs antiguas contra la API de WP en vez de una lista a mano.</t>
  </si>
  <si>
    <t xml:space="preserve">Probar las 123 URLs del sitemap actual</t>
  </si>
  <si>
    <t xml:space="preserve">Ninguna debe dar 404 salvo las que se limpian a propósito.</t>
  </si>
  <si>
    <t xml:space="preserve">Analítica</t>
  </si>
  <si>
    <t xml:space="preserve">Meta Pixel</t>
  </si>
  <si>
    <t xml:space="preserve">PageView en todas las páginas.</t>
  </si>
  <si>
    <t xml:space="preserve">Eventos de ecommerce</t>
  </si>
  <si>
    <t xml:space="preserve">ViewContent, AddToCart, InitiateCheckout en Next; Purchase en el checkout de WP.</t>
  </si>
  <si>
    <t xml:space="preserve">Banner de cookies</t>
  </si>
  <si>
    <t xml:space="preserve">Consentimiento antes de cargar el pixel.</t>
  </si>
  <si>
    <t xml:space="preserve">Limpieza de la web actual</t>
  </si>
  <si>
    <t xml:space="preserve">Despublicar test-prod</t>
  </si>
  <si>
    <t xml:space="preserve">Ocultar CPT banners del sitemap y de la web</t>
  </si>
  <si>
    <t xml:space="preserve">Quitar autor y sin-categorizar del sitemap</t>
  </si>
  <si>
    <t xml:space="preserve">Despliegue</t>
  </si>
  <si>
    <t xml:space="preserve">Elegir hosting de Next</t>
  </si>
  <si>
    <t xml:space="preserve">Cerca del servidor de WP (Phoenix).</t>
  </si>
  <si>
    <t xml:space="preserve">Infraestructura</t>
  </si>
  <si>
    <t xml:space="preserve">Variables de entorno de producción</t>
  </si>
  <si>
    <t xml:space="preserve">URL de WP y secreto (distinto del de staging).</t>
  </si>
  <si>
    <t xml:space="preserve">Constante del secreto en wp-config de producción</t>
  </si>
  <si>
    <t xml:space="preserve">Reglas de LiteSpeed en producción</t>
  </si>
  <si>
    <t xml:space="preserve">Force Cache guest=1, Do Not Cache guest=0, TTL de REST.</t>
  </si>
  <si>
    <t xml:space="preserve">mu-plugin de pricing en producción</t>
  </si>
  <si>
    <t xml:space="preserve">Feed de Merchant Center y Meta</t>
  </si>
  <si>
    <t xml:space="preserve">URLs nuevas de producto.</t>
  </si>
  <si>
    <t xml:space="preserve">Monitorización de errores</t>
  </si>
  <si>
    <t xml:space="preserve">Sentry o similar.</t>
  </si>
  <si>
    <t xml:space="preserve">Plan de vuelta atrás</t>
  </si>
  <si>
    <t xml:space="preserve">Cómo volver al frontend actual si algo falla el día del cambio.</t>
  </si>
  <si>
    <t xml:space="preserve">Pruebas automáticas</t>
  </si>
  <si>
    <t xml:space="preserve">Instalar Playwright</t>
  </si>
  <si>
    <t xml:space="preserve">Test: añadir al carrito y llegar al checkout</t>
  </si>
  <si>
    <t xml:space="preserve">Test: registro y login</t>
  </si>
  <si>
    <t xml:space="preserve">Test: filtros y ficha</t>
  </si>
  <si>
    <t xml:space="preserve">Ejecutar antes de cada despliegue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</si>
</sst>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10"/>
      <color rgb="FF777777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sz val="10"/>
      <color rgb="FF444444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b val="true"/>
      <sz val="10"/>
      <color rgb="FF1565C0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8E24AA"/>
      <name val="Arial"/>
      <family val="0"/>
      <charset val="1"/>
    </font>
    <font>
      <b val="true"/>
      <sz val="10"/>
      <color rgb="FFEF6C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A5F"/>
        <bgColor rgb="FF444444"/>
      </patternFill>
    </fill>
    <fill>
      <patternFill patternType="solid">
        <fgColor rgb="FFDCEBFA"/>
        <bgColor rgb="FFE8ECF2"/>
      </patternFill>
    </fill>
    <fill>
      <patternFill patternType="solid">
        <fgColor rgb="FFE3F4E4"/>
        <bgColor rgb="FFE6F4EA"/>
      </patternFill>
    </fill>
    <fill>
      <patternFill patternType="solid">
        <fgColor rgb="FFFFF1D6"/>
        <bgColor rgb="FFFFF8E1"/>
      </patternFill>
    </fill>
    <fill>
      <patternFill patternType="solid">
        <fgColor rgb="FFFBE3E4"/>
        <bgColor rgb="FFEEE5FA"/>
      </patternFill>
    </fill>
    <fill>
      <patternFill patternType="solid">
        <fgColor rgb="FFEEE5FA"/>
        <bgColor rgb="FFE8ECF2"/>
      </patternFill>
    </fill>
    <fill>
      <patternFill patternType="solid">
        <fgColor rgb="FFE0F4F4"/>
        <bgColor rgb="FFE6F4EA"/>
      </patternFill>
    </fill>
    <fill>
      <patternFill patternType="solid">
        <fgColor rgb="FFF1F1F1"/>
        <bgColor rgb="FFE8ECF2"/>
      </patternFill>
    </fill>
    <fill>
      <patternFill patternType="solid">
        <fgColor rgb="FFE8ECF2"/>
        <bgColor rgb="FFF1F1F1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E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9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ill>
        <patternFill patternType="solid">
          <fgColor rgb="FF1F3A5F"/>
          <bgColor rgb="FF000000"/>
        </patternFill>
      </fill>
    </dxf>
    <dxf>
      <fill>
        <patternFill patternType="solid">
          <fgColor rgb="FFE6F4EA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7A8A7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CEBFA"/>
          <bgColor rgb="FF000000"/>
        </patternFill>
      </fill>
    </dxf>
    <dxf>
      <fill>
        <patternFill patternType="solid">
          <fgColor rgb="FFE0F4F4"/>
          <bgColor rgb="FF000000"/>
        </patternFill>
      </fill>
    </dxf>
    <dxf>
      <fill>
        <patternFill patternType="solid">
          <fgColor rgb="FFE3F4E4"/>
          <bgColor rgb="FF000000"/>
        </patternFill>
      </fill>
    </dxf>
    <dxf>
      <fill>
        <patternFill patternType="solid">
          <fgColor rgb="FFEEE5FA"/>
          <bgColor rgb="FF000000"/>
        </patternFill>
      </fill>
    </dxf>
    <dxf>
      <fill>
        <patternFill patternType="solid">
          <fgColor rgb="FFF1F1F1"/>
          <bgColor rgb="FF000000"/>
        </patternFill>
      </fill>
    </dxf>
    <dxf>
      <fill>
        <patternFill patternType="solid">
          <fgColor rgb="FFFBE3E4"/>
          <bgColor rgb="FF000000"/>
        </patternFill>
      </fill>
    </dxf>
    <dxf>
      <fill>
        <patternFill patternType="solid">
          <fgColor rgb="FFFFF1D6"/>
          <bgColor rgb="FF000000"/>
        </patternFill>
      </fill>
    </dxf>
    <dxf>
      <fill>
        <patternFill patternType="solid">
          <fgColor rgb="FF1565C0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8E24AA"/>
          <bgColor rgb="FF000000"/>
        </patternFill>
      </fill>
    </dxf>
    <dxf>
      <fill>
        <patternFill patternType="solid">
          <fgColor rgb="FFEF6C00"/>
          <bgColor rgb="FF000000"/>
        </patternFill>
      </fill>
    </dxf>
    <dxf>
      <fill>
        <patternFill patternType="solid">
          <fgColor rgb="FF555555"/>
          <bgColor rgb="FF000000"/>
        </patternFill>
      </fill>
    </dxf>
    <dxf>
      <font>
        <strike val="1"/>
        <color rgb="FF7A8A7E"/>
      </font>
      <fill>
        <patternFill>
          <bgColor rgb="FFE6F4EA"/>
        </patternFill>
      </fill>
    </dxf>
    <dxf>
      <fill>
        <patternFill>
          <bgColor rgb="FFFFF8E1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EE5FA"/>
      <rgbColor rgb="FF7A8A7E"/>
      <rgbColor rgb="FF9999FF"/>
      <rgbColor rgb="FF8E24AA"/>
      <rgbColor rgb="FFFFF8E1"/>
      <rgbColor rgb="FFE0F4F4"/>
      <rgbColor rgb="FF660066"/>
      <rgbColor rgb="FFFF8080"/>
      <rgbColor rgb="FF1565C0"/>
      <rgbColor rgb="FFD9DE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BFA"/>
      <rgbColor rgb="FFE3F4E4"/>
      <rgbColor rgb="FFFFF1D6"/>
      <rgbColor rgb="FFE8ECF2"/>
      <rgbColor rgb="FFF1F1F1"/>
      <rgbColor rgb="FFE6F4EA"/>
      <rgbColor rgb="FFFBE3E4"/>
      <rgbColor rgb="FF3366FF"/>
      <rgbColor rgb="FF33CCCC"/>
      <rgbColor rgb="FF99CC00"/>
      <rgbColor rgb="FFFFCC00"/>
      <rgbColor rgb="FFFF9900"/>
      <rgbColor rgb="FFEF6C00"/>
      <rgbColor rgb="FF777777"/>
      <rgbColor rgb="FF969696"/>
      <rgbColor rgb="FF1F3A5F"/>
      <rgbColor rgb="FF2E7D32"/>
      <rgbColor rgb="FF003300"/>
      <rgbColor rgb="FF333300"/>
      <rgbColor rgb="FF993300"/>
      <rgbColor rgb="FF993366"/>
      <rgbColor rgb="FF555555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5" min="2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4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</row>
    <row r="5" customFormat="false" ht="15" hidden="false" customHeight="false" outlineLevel="0" collapsed="false">
      <c r="A5" s="5" t="s">
        <v>7</v>
      </c>
      <c r="B5" s="6" t="n">
        <f aca="false">COUNTIF(Backlog!$C$2:$C$145,A5)</f>
        <v>20</v>
      </c>
      <c r="C5" s="6" t="n">
        <f aca="false">COUNTIFS(Backlog!$C$2:$C$145,A5,Backlog!$A$2:$A$145,"✅ Terminado")</f>
        <v>0</v>
      </c>
      <c r="D5" s="6" t="n">
        <f aca="false">COUNTIFS(Backlog!$C$2:$C$145,A5,Backlog!$A$2:$A$145,"🔄 En curso")</f>
        <v>0</v>
      </c>
      <c r="E5" s="7" t="n">
        <f aca="false">IF(B5=0,0,C5/B5)</f>
        <v>0</v>
      </c>
    </row>
    <row r="6" customFormat="false" ht="15" hidden="false" customHeight="false" outlineLevel="0" collapsed="false">
      <c r="A6" s="8" t="s">
        <v>8</v>
      </c>
      <c r="B6" s="6" t="n">
        <f aca="false">COUNTIF(Backlog!$C$2:$C$145,A6)</f>
        <v>22</v>
      </c>
      <c r="C6" s="6" t="n">
        <f aca="false">COUNTIFS(Backlog!$C$2:$C$145,A6,Backlog!$A$2:$A$145,"✅ Terminado")</f>
        <v>0</v>
      </c>
      <c r="D6" s="6" t="n">
        <f aca="false">COUNTIFS(Backlog!$C$2:$C$145,A6,Backlog!$A$2:$A$145,"🔄 En curso")</f>
        <v>0</v>
      </c>
      <c r="E6" s="7" t="n">
        <f aca="false">IF(B6=0,0,C6/B6)</f>
        <v>0</v>
      </c>
    </row>
    <row r="7" customFormat="false" ht="15" hidden="false" customHeight="false" outlineLevel="0" collapsed="false">
      <c r="A7" s="9" t="s">
        <v>9</v>
      </c>
      <c r="B7" s="6" t="n">
        <f aca="false">COUNTIF(Backlog!$C$2:$C$145,A7)</f>
        <v>18</v>
      </c>
      <c r="C7" s="6" t="n">
        <f aca="false">COUNTIFS(Backlog!$C$2:$C$145,A7,Backlog!$A$2:$A$145,"✅ Terminado")</f>
        <v>0</v>
      </c>
      <c r="D7" s="6" t="n">
        <f aca="false">COUNTIFS(Backlog!$C$2:$C$145,A7,Backlog!$A$2:$A$145,"🔄 En curso")</f>
        <v>0</v>
      </c>
      <c r="E7" s="7" t="n">
        <f aca="false">IF(B7=0,0,C7/B7)</f>
        <v>0</v>
      </c>
    </row>
    <row r="8" customFormat="false" ht="15" hidden="false" customHeight="false" outlineLevel="0" collapsed="false">
      <c r="A8" s="10" t="s">
        <v>10</v>
      </c>
      <c r="B8" s="6" t="n">
        <f aca="false">COUNTIF(Backlog!$C$2:$C$145,A8)</f>
        <v>17</v>
      </c>
      <c r="C8" s="6" t="n">
        <f aca="false">COUNTIFS(Backlog!$C$2:$C$145,A8,Backlog!$A$2:$A$145,"✅ Terminado")</f>
        <v>0</v>
      </c>
      <c r="D8" s="6" t="n">
        <f aca="false">COUNTIFS(Backlog!$C$2:$C$145,A8,Backlog!$A$2:$A$145,"🔄 En curso")</f>
        <v>0</v>
      </c>
      <c r="E8" s="7" t="n">
        <f aca="false">IF(B8=0,0,C8/B8)</f>
        <v>0</v>
      </c>
    </row>
    <row r="9" customFormat="false" ht="15" hidden="false" customHeight="false" outlineLevel="0" collapsed="false">
      <c r="A9" s="11" t="s">
        <v>11</v>
      </c>
      <c r="B9" s="6" t="n">
        <f aca="false">COUNTIF(Backlog!$C$2:$C$145,A9)</f>
        <v>19</v>
      </c>
      <c r="C9" s="6" t="n">
        <f aca="false">COUNTIFS(Backlog!$C$2:$C$145,A9,Backlog!$A$2:$A$145,"✅ Terminado")</f>
        <v>1</v>
      </c>
      <c r="D9" s="6" t="n">
        <f aca="false">COUNTIFS(Backlog!$C$2:$C$145,A9,Backlog!$A$2:$A$145,"🔄 En curso")</f>
        <v>2</v>
      </c>
      <c r="E9" s="7" t="n">
        <f aca="false">IF(B9=0,0,C9/B9)</f>
        <v>0.0526315789473684</v>
      </c>
    </row>
    <row r="10" customFormat="false" ht="15" hidden="false" customHeight="false" outlineLevel="0" collapsed="false">
      <c r="A10" s="12" t="s">
        <v>12</v>
      </c>
      <c r="B10" s="6" t="n">
        <f aca="false">COUNTIF(Backlog!$C$2:$C$145,A10)</f>
        <v>18</v>
      </c>
      <c r="C10" s="6" t="n">
        <f aca="false">COUNTIFS(Backlog!$C$2:$C$145,A10,Backlog!$A$2:$A$145,"✅ Terminado")</f>
        <v>0</v>
      </c>
      <c r="D10" s="6" t="n">
        <f aca="false">COUNTIFS(Backlog!$C$2:$C$145,A10,Backlog!$A$2:$A$145,"🔄 En curso")</f>
        <v>0</v>
      </c>
      <c r="E10" s="7" t="n">
        <f aca="false">IF(B10=0,0,C10/B10)</f>
        <v>0</v>
      </c>
    </row>
    <row r="11" customFormat="false" ht="15" hidden="false" customHeight="false" outlineLevel="0" collapsed="false">
      <c r="A11" s="13" t="s">
        <v>13</v>
      </c>
      <c r="B11" s="6" t="n">
        <f aca="false">COUNTIF(Backlog!$C$2:$C$145,A11)</f>
        <v>30</v>
      </c>
      <c r="C11" s="6" t="n">
        <f aca="false">COUNTIFS(Backlog!$C$2:$C$145,A11,Backlog!$A$2:$A$145,"✅ Terminado")</f>
        <v>0</v>
      </c>
      <c r="D11" s="6" t="n">
        <f aca="false">COUNTIFS(Backlog!$C$2:$C$145,A11,Backlog!$A$2:$A$145,"🔄 En curso")</f>
        <v>0</v>
      </c>
      <c r="E11" s="7" t="n">
        <f aca="false">IF(B11=0,0,C11/B11)</f>
        <v>0</v>
      </c>
    </row>
    <row r="12" customFormat="false" ht="15" hidden="false" customHeight="false" outlineLevel="0" collapsed="false">
      <c r="A12" s="14" t="s">
        <v>3</v>
      </c>
      <c r="B12" s="15" t="n">
        <f aca="false">SUM(B5:B11)</f>
        <v>144</v>
      </c>
      <c r="C12" s="15" t="n">
        <f aca="false">SUM(C5:C11)</f>
        <v>1</v>
      </c>
      <c r="D12" s="15" t="n">
        <f aca="false">SUM(D5:D11)</f>
        <v>2</v>
      </c>
      <c r="E12" s="16" t="n">
        <f aca="false">IF(B12=0,0,C12/B12)</f>
        <v>0.00694444444444444</v>
      </c>
    </row>
    <row r="14" customFormat="false" ht="15" hidden="false" customHeight="false" outlineLevel="0" collapsed="false">
      <c r="A14" s="17" t="s">
        <v>14</v>
      </c>
    </row>
    <row r="15" customFormat="false" ht="27.75" hidden="false" customHeight="true" outlineLevel="0" collapsed="false">
      <c r="A15" s="18" t="s">
        <v>15</v>
      </c>
      <c r="B15" s="19" t="s">
        <v>16</v>
      </c>
      <c r="C15" s="19"/>
      <c r="D15" s="19"/>
      <c r="E15" s="19"/>
    </row>
    <row r="16" customFormat="false" ht="27.75" hidden="false" customHeight="true" outlineLevel="0" collapsed="false">
      <c r="A16" s="18" t="s">
        <v>2</v>
      </c>
      <c r="B16" s="19" t="s">
        <v>17</v>
      </c>
      <c r="C16" s="19"/>
      <c r="D16" s="19"/>
      <c r="E16" s="19"/>
    </row>
    <row r="17" customFormat="false" ht="27.75" hidden="false" customHeight="true" outlineLevel="0" collapsed="false">
      <c r="A17" s="18" t="s">
        <v>18</v>
      </c>
      <c r="B17" s="19" t="s">
        <v>19</v>
      </c>
      <c r="C17" s="19"/>
      <c r="D17" s="19"/>
      <c r="E17" s="19"/>
    </row>
    <row r="18" customFormat="false" ht="27.75" hidden="false" customHeight="true" outlineLevel="0" collapsed="false">
      <c r="A18" s="18" t="s">
        <v>20</v>
      </c>
      <c r="B18" s="19" t="s">
        <v>21</v>
      </c>
      <c r="C18" s="19"/>
      <c r="D18" s="19"/>
      <c r="E18" s="19"/>
    </row>
    <row r="19" customFormat="false" ht="27.75" hidden="false" customHeight="true" outlineLevel="0" collapsed="false">
      <c r="A19" s="18" t="s">
        <v>22</v>
      </c>
      <c r="B19" s="19" t="s">
        <v>23</v>
      </c>
      <c r="C19" s="19"/>
      <c r="D19" s="19"/>
      <c r="E19" s="19"/>
    </row>
    <row r="20" customFormat="false" ht="27.75" hidden="false" customHeight="true" outlineLevel="0" collapsed="false">
      <c r="A20" s="18" t="s">
        <v>24</v>
      </c>
      <c r="B20" s="19" t="s">
        <v>25</v>
      </c>
      <c r="C20" s="19"/>
      <c r="D20" s="19"/>
      <c r="E20" s="19"/>
    </row>
    <row r="21" customFormat="false" ht="27.75" hidden="false" customHeight="true" outlineLevel="0" collapsed="false">
      <c r="A21" s="18" t="s">
        <v>26</v>
      </c>
      <c r="B21" s="19" t="s">
        <v>27</v>
      </c>
      <c r="C21" s="19"/>
      <c r="D21" s="19"/>
      <c r="E21" s="19"/>
    </row>
    <row r="22" customFormat="false" ht="27.75" hidden="false" customHeight="true" outlineLevel="0" collapsed="false">
      <c r="A22" s="18" t="s">
        <v>28</v>
      </c>
      <c r="B22" s="19" t="s">
        <v>29</v>
      </c>
      <c r="C22" s="19"/>
      <c r="D22" s="19"/>
      <c r="E22" s="19"/>
    </row>
    <row r="23" customFormat="false" ht="27.75" hidden="false" customHeight="true" outlineLevel="0" collapsed="false">
      <c r="A23" s="18" t="s">
        <v>30</v>
      </c>
      <c r="B23" s="19" t="s">
        <v>31</v>
      </c>
      <c r="C23" s="19"/>
      <c r="D23" s="19"/>
      <c r="E23" s="19"/>
    </row>
    <row r="24" customFormat="false" ht="27.75" hidden="false" customHeight="true" outlineLevel="0" collapsed="false">
      <c r="A24" s="18" t="s">
        <v>32</v>
      </c>
      <c r="B24" s="19" t="s">
        <v>33</v>
      </c>
      <c r="C24" s="19"/>
      <c r="D24" s="19"/>
      <c r="E24" s="19"/>
    </row>
  </sheetData>
  <mergeCells count="10"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</mergeCells>
  <conditionalFormatting sqref="E5:E12">
    <cfRule type="dataBar" priority="2">
      <dataBar showValue="1" minLength="10" maxLength="90">
        <cfvo type="num" val="0"/>
        <cfvo type="num" val="1"/>
        <color rgb="FF43A047"/>
      </dataBar>
      <extLst>
        <ext xmlns:x14="http://schemas.microsoft.com/office/spreadsheetml/2009/9/main" uri="{B025F937-C7B1-47D3-B67F-A62EFF666E3E}">
          <x14:id>{AC80FCD2-F678-4357-8319-CE8C4A1EC48C}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C80FCD2-F678-4357-8319-CE8C4A1EC48C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43A047"/>
              <x14:axisColor rgb="FF000000"/>
            </x14:dataBar>
          </x14:cfRule>
          <xm:sqref>E5:E12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6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30"/>
    <col collapsed="false" customWidth="true" hidden="false" outlineLevel="0" max="6" min="6" style="0" width="38"/>
    <col collapsed="false" customWidth="true" hidden="false" outlineLevel="0" max="7" min="7" style="0" width="70"/>
    <col collapsed="false" customWidth="true" hidden="false" outlineLevel="0" max="8" min="8" style="0" width="20"/>
    <col collapsed="false" customWidth="true" hidden="false" outlineLevel="0" max="9" min="9" style="0" width="32"/>
  </cols>
  <sheetData>
    <row r="1" customFormat="false" ht="27.75" hidden="false" customHeight="true" outlineLevel="0" collapsed="false">
      <c r="A1" s="20" t="s">
        <v>32</v>
      </c>
      <c r="B1" s="20" t="s">
        <v>34</v>
      </c>
      <c r="C1" s="21" t="s">
        <v>2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26</v>
      </c>
    </row>
    <row r="2" customFormat="false" ht="23.85" hidden="false" customHeight="false" outlineLevel="0" collapsed="false">
      <c r="A2" s="22" t="s">
        <v>40</v>
      </c>
      <c r="B2" s="22" t="n">
        <v>1</v>
      </c>
      <c r="C2" s="23" t="s">
        <v>7</v>
      </c>
      <c r="D2" s="24" t="s">
        <v>20</v>
      </c>
      <c r="E2" s="25" t="s">
        <v>41</v>
      </c>
      <c r="F2" s="26" t="s">
        <v>42</v>
      </c>
      <c r="G2" s="27" t="s">
        <v>43</v>
      </c>
      <c r="H2" s="26" t="s">
        <v>44</v>
      </c>
      <c r="I2" s="26"/>
    </row>
    <row r="3" customFormat="false" ht="23.85" hidden="false" customHeight="false" outlineLevel="0" collapsed="false">
      <c r="A3" s="22" t="s">
        <v>40</v>
      </c>
      <c r="B3" s="22" t="n">
        <v>2</v>
      </c>
      <c r="C3" s="23" t="s">
        <v>7</v>
      </c>
      <c r="D3" s="24" t="s">
        <v>20</v>
      </c>
      <c r="E3" s="25" t="s">
        <v>41</v>
      </c>
      <c r="F3" s="26" t="s">
        <v>45</v>
      </c>
      <c r="G3" s="27" t="s">
        <v>46</v>
      </c>
      <c r="H3" s="26" t="s">
        <v>44</v>
      </c>
      <c r="I3" s="26"/>
    </row>
    <row r="4" customFormat="false" ht="35.05" hidden="false" customHeight="false" outlineLevel="0" collapsed="false">
      <c r="A4" s="22" t="s">
        <v>40</v>
      </c>
      <c r="B4" s="22" t="n">
        <v>3</v>
      </c>
      <c r="C4" s="23" t="s">
        <v>7</v>
      </c>
      <c r="D4" s="24" t="s">
        <v>20</v>
      </c>
      <c r="E4" s="25" t="s">
        <v>41</v>
      </c>
      <c r="F4" s="26" t="s">
        <v>47</v>
      </c>
      <c r="G4" s="27" t="s">
        <v>48</v>
      </c>
      <c r="H4" s="26" t="s">
        <v>49</v>
      </c>
      <c r="I4" s="26" t="s">
        <v>42</v>
      </c>
    </row>
    <row r="5" customFormat="false" ht="23.85" hidden="false" customHeight="false" outlineLevel="0" collapsed="false">
      <c r="A5" s="22" t="s">
        <v>40</v>
      </c>
      <c r="B5" s="22" t="n">
        <v>4</v>
      </c>
      <c r="C5" s="23" t="s">
        <v>7</v>
      </c>
      <c r="D5" s="24" t="s">
        <v>20</v>
      </c>
      <c r="E5" s="25" t="s">
        <v>41</v>
      </c>
      <c r="F5" s="26" t="s">
        <v>50</v>
      </c>
      <c r="G5" s="27" t="s">
        <v>51</v>
      </c>
      <c r="H5" s="26" t="s">
        <v>52</v>
      </c>
      <c r="I5" s="26" t="s">
        <v>47</v>
      </c>
    </row>
    <row r="6" customFormat="false" ht="23.85" hidden="false" customHeight="false" outlineLevel="0" collapsed="false">
      <c r="A6" s="22" t="s">
        <v>40</v>
      </c>
      <c r="B6" s="22" t="n">
        <v>5</v>
      </c>
      <c r="C6" s="23" t="s">
        <v>7</v>
      </c>
      <c r="D6" s="24" t="s">
        <v>20</v>
      </c>
      <c r="E6" s="25" t="s">
        <v>41</v>
      </c>
      <c r="F6" s="26" t="s">
        <v>53</v>
      </c>
      <c r="G6" s="27" t="s">
        <v>54</v>
      </c>
      <c r="H6" s="26" t="s">
        <v>24</v>
      </c>
      <c r="I6" s="26" t="s">
        <v>47</v>
      </c>
    </row>
    <row r="7" customFormat="false" ht="23.85" hidden="false" customHeight="false" outlineLevel="0" collapsed="false">
      <c r="A7" s="22" t="s">
        <v>40</v>
      </c>
      <c r="B7" s="22" t="n">
        <v>6</v>
      </c>
      <c r="C7" s="23" t="s">
        <v>7</v>
      </c>
      <c r="D7" s="24" t="s">
        <v>20</v>
      </c>
      <c r="E7" s="25" t="s">
        <v>41</v>
      </c>
      <c r="F7" s="26" t="s">
        <v>55</v>
      </c>
      <c r="G7" s="27" t="s">
        <v>56</v>
      </c>
      <c r="H7" s="26" t="s">
        <v>44</v>
      </c>
      <c r="I7" s="26"/>
    </row>
    <row r="8" customFormat="false" ht="23.85" hidden="false" customHeight="false" outlineLevel="0" collapsed="false">
      <c r="A8" s="22" t="s">
        <v>40</v>
      </c>
      <c r="B8" s="22" t="n">
        <v>7</v>
      </c>
      <c r="C8" s="23" t="s">
        <v>7</v>
      </c>
      <c r="D8" s="24" t="s">
        <v>20</v>
      </c>
      <c r="E8" s="25" t="s">
        <v>57</v>
      </c>
      <c r="F8" s="26" t="s">
        <v>58</v>
      </c>
      <c r="G8" s="27" t="s">
        <v>59</v>
      </c>
      <c r="H8" s="26" t="s">
        <v>44</v>
      </c>
      <c r="I8" s="26"/>
    </row>
    <row r="9" customFormat="false" ht="23.85" hidden="false" customHeight="false" outlineLevel="0" collapsed="false">
      <c r="A9" s="22" t="s">
        <v>40</v>
      </c>
      <c r="B9" s="22" t="n">
        <v>8</v>
      </c>
      <c r="C9" s="23" t="s">
        <v>7</v>
      </c>
      <c r="D9" s="24" t="s">
        <v>20</v>
      </c>
      <c r="E9" s="25" t="s">
        <v>57</v>
      </c>
      <c r="F9" s="26" t="s">
        <v>60</v>
      </c>
      <c r="G9" s="27" t="s">
        <v>61</v>
      </c>
      <c r="H9" s="26" t="s">
        <v>62</v>
      </c>
      <c r="I9" s="26"/>
    </row>
    <row r="10" customFormat="false" ht="23.85" hidden="false" customHeight="false" outlineLevel="0" collapsed="false">
      <c r="A10" s="22" t="s">
        <v>40</v>
      </c>
      <c r="B10" s="22" t="n">
        <v>9</v>
      </c>
      <c r="C10" s="23" t="s">
        <v>7</v>
      </c>
      <c r="D10" s="24" t="s">
        <v>20</v>
      </c>
      <c r="E10" s="25" t="s">
        <v>57</v>
      </c>
      <c r="F10" s="26" t="s">
        <v>63</v>
      </c>
      <c r="G10" s="27" t="s">
        <v>64</v>
      </c>
      <c r="H10" s="26" t="s">
        <v>62</v>
      </c>
      <c r="I10" s="26" t="s">
        <v>60</v>
      </c>
    </row>
    <row r="11" customFormat="false" ht="23.85" hidden="false" customHeight="false" outlineLevel="0" collapsed="false">
      <c r="A11" s="22" t="s">
        <v>40</v>
      </c>
      <c r="B11" s="22" t="n">
        <v>10</v>
      </c>
      <c r="C11" s="23" t="s">
        <v>7</v>
      </c>
      <c r="D11" s="24" t="s">
        <v>20</v>
      </c>
      <c r="E11" s="25" t="s">
        <v>57</v>
      </c>
      <c r="F11" s="26" t="s">
        <v>65</v>
      </c>
      <c r="G11" s="27" t="s">
        <v>66</v>
      </c>
      <c r="H11" s="26" t="s">
        <v>49</v>
      </c>
      <c r="I11" s="26" t="s">
        <v>63</v>
      </c>
    </row>
    <row r="12" customFormat="false" ht="23.85" hidden="false" customHeight="false" outlineLevel="0" collapsed="false">
      <c r="A12" s="22" t="s">
        <v>40</v>
      </c>
      <c r="B12" s="22" t="n">
        <v>11</v>
      </c>
      <c r="C12" s="23" t="s">
        <v>7</v>
      </c>
      <c r="D12" s="24" t="s">
        <v>20</v>
      </c>
      <c r="E12" s="25" t="s">
        <v>57</v>
      </c>
      <c r="F12" s="26" t="s">
        <v>67</v>
      </c>
      <c r="G12" s="27" t="s">
        <v>68</v>
      </c>
      <c r="H12" s="26" t="s">
        <v>49</v>
      </c>
      <c r="I12" s="26" t="s">
        <v>65</v>
      </c>
    </row>
    <row r="13" customFormat="false" ht="23.85" hidden="false" customHeight="false" outlineLevel="0" collapsed="false">
      <c r="A13" s="22" t="s">
        <v>40</v>
      </c>
      <c r="B13" s="22" t="n">
        <v>12</v>
      </c>
      <c r="C13" s="23" t="s">
        <v>7</v>
      </c>
      <c r="D13" s="24" t="s">
        <v>20</v>
      </c>
      <c r="E13" s="25" t="s">
        <v>57</v>
      </c>
      <c r="F13" s="26" t="s">
        <v>69</v>
      </c>
      <c r="G13" s="27" t="s">
        <v>70</v>
      </c>
      <c r="H13" s="26" t="s">
        <v>24</v>
      </c>
      <c r="I13" s="26" t="s">
        <v>67</v>
      </c>
    </row>
    <row r="14" customFormat="false" ht="23.85" hidden="false" customHeight="false" outlineLevel="0" collapsed="false">
      <c r="A14" s="22" t="s">
        <v>40</v>
      </c>
      <c r="B14" s="22" t="n">
        <v>13</v>
      </c>
      <c r="C14" s="23" t="s">
        <v>7</v>
      </c>
      <c r="D14" s="24" t="s">
        <v>20</v>
      </c>
      <c r="E14" s="25" t="s">
        <v>71</v>
      </c>
      <c r="F14" s="26" t="s">
        <v>72</v>
      </c>
      <c r="G14" s="27" t="s">
        <v>73</v>
      </c>
      <c r="H14" s="26" t="s">
        <v>49</v>
      </c>
      <c r="I14" s="26"/>
    </row>
    <row r="15" customFormat="false" ht="23.85" hidden="false" customHeight="false" outlineLevel="0" collapsed="false">
      <c r="A15" s="22" t="s">
        <v>40</v>
      </c>
      <c r="B15" s="22" t="n">
        <v>14</v>
      </c>
      <c r="C15" s="23" t="s">
        <v>7</v>
      </c>
      <c r="D15" s="24" t="s">
        <v>20</v>
      </c>
      <c r="E15" s="25" t="s">
        <v>71</v>
      </c>
      <c r="F15" s="26" t="s">
        <v>74</v>
      </c>
      <c r="G15" s="27" t="s">
        <v>75</v>
      </c>
      <c r="H15" s="26" t="s">
        <v>49</v>
      </c>
      <c r="I15" s="26" t="s">
        <v>72</v>
      </c>
    </row>
    <row r="16" customFormat="false" ht="23.85" hidden="false" customHeight="false" outlineLevel="0" collapsed="false">
      <c r="A16" s="22" t="s">
        <v>40</v>
      </c>
      <c r="B16" s="22" t="n">
        <v>15</v>
      </c>
      <c r="C16" s="23" t="s">
        <v>7</v>
      </c>
      <c r="D16" s="24" t="s">
        <v>20</v>
      </c>
      <c r="E16" s="25" t="s">
        <v>71</v>
      </c>
      <c r="F16" s="26" t="s">
        <v>76</v>
      </c>
      <c r="G16" s="27" t="s">
        <v>77</v>
      </c>
      <c r="H16" s="26" t="s">
        <v>49</v>
      </c>
      <c r="I16" s="26" t="s">
        <v>57</v>
      </c>
    </row>
    <row r="17" customFormat="false" ht="23.85" hidden="false" customHeight="false" outlineLevel="0" collapsed="false">
      <c r="A17" s="22" t="s">
        <v>40</v>
      </c>
      <c r="B17" s="22" t="n">
        <v>16</v>
      </c>
      <c r="C17" s="23" t="s">
        <v>7</v>
      </c>
      <c r="D17" s="24" t="s">
        <v>20</v>
      </c>
      <c r="E17" s="25" t="s">
        <v>71</v>
      </c>
      <c r="F17" s="26" t="s">
        <v>78</v>
      </c>
      <c r="G17" s="27" t="s">
        <v>79</v>
      </c>
      <c r="H17" s="26" t="s">
        <v>49</v>
      </c>
      <c r="I17" s="26" t="s">
        <v>74</v>
      </c>
    </row>
    <row r="18" customFormat="false" ht="23.85" hidden="false" customHeight="false" outlineLevel="0" collapsed="false">
      <c r="A18" s="22" t="s">
        <v>40</v>
      </c>
      <c r="B18" s="22" t="n">
        <v>17</v>
      </c>
      <c r="C18" s="23" t="s">
        <v>7</v>
      </c>
      <c r="D18" s="24" t="s">
        <v>20</v>
      </c>
      <c r="E18" s="25" t="s">
        <v>71</v>
      </c>
      <c r="F18" s="26" t="s">
        <v>80</v>
      </c>
      <c r="G18" s="27" t="s">
        <v>81</v>
      </c>
      <c r="H18" s="26" t="s">
        <v>49</v>
      </c>
      <c r="I18" s="26" t="s">
        <v>78</v>
      </c>
    </row>
    <row r="19" customFormat="false" ht="23.85" hidden="false" customHeight="false" outlineLevel="0" collapsed="false">
      <c r="A19" s="22" t="s">
        <v>40</v>
      </c>
      <c r="B19" s="22" t="n">
        <v>18</v>
      </c>
      <c r="C19" s="23" t="s">
        <v>7</v>
      </c>
      <c r="D19" s="24" t="s">
        <v>20</v>
      </c>
      <c r="E19" s="25" t="s">
        <v>71</v>
      </c>
      <c r="F19" s="26" t="s">
        <v>82</v>
      </c>
      <c r="G19" s="27" t="s">
        <v>83</v>
      </c>
      <c r="H19" s="26" t="s">
        <v>62</v>
      </c>
      <c r="I19" s="26" t="s">
        <v>80</v>
      </c>
    </row>
    <row r="20" customFormat="false" ht="23.85" hidden="false" customHeight="false" outlineLevel="0" collapsed="false">
      <c r="A20" s="22" t="s">
        <v>40</v>
      </c>
      <c r="B20" s="22" t="n">
        <v>19</v>
      </c>
      <c r="C20" s="23" t="s">
        <v>7</v>
      </c>
      <c r="D20" s="24" t="s">
        <v>20</v>
      </c>
      <c r="E20" s="25" t="s">
        <v>71</v>
      </c>
      <c r="F20" s="26" t="s">
        <v>84</v>
      </c>
      <c r="G20" s="27" t="s">
        <v>85</v>
      </c>
      <c r="H20" s="26" t="s">
        <v>49</v>
      </c>
      <c r="I20" s="26"/>
    </row>
    <row r="21" customFormat="false" ht="23.85" hidden="false" customHeight="false" outlineLevel="0" collapsed="false">
      <c r="A21" s="22" t="s">
        <v>40</v>
      </c>
      <c r="B21" s="22" t="n">
        <v>20</v>
      </c>
      <c r="C21" s="23" t="s">
        <v>7</v>
      </c>
      <c r="D21" s="24" t="s">
        <v>20</v>
      </c>
      <c r="E21" s="25" t="s">
        <v>71</v>
      </c>
      <c r="F21" s="26" t="s">
        <v>86</v>
      </c>
      <c r="G21" s="27" t="s">
        <v>87</v>
      </c>
      <c r="H21" s="26" t="s">
        <v>24</v>
      </c>
      <c r="I21" s="26" t="s">
        <v>76</v>
      </c>
    </row>
    <row r="22" customFormat="false" ht="23.85" hidden="false" customHeight="false" outlineLevel="0" collapsed="false">
      <c r="A22" s="22" t="s">
        <v>40</v>
      </c>
      <c r="B22" s="22" t="n">
        <v>21</v>
      </c>
      <c r="C22" s="28" t="s">
        <v>8</v>
      </c>
      <c r="D22" s="29" t="s">
        <v>18</v>
      </c>
      <c r="E22" s="25" t="s">
        <v>88</v>
      </c>
      <c r="F22" s="26" t="s">
        <v>89</v>
      </c>
      <c r="G22" s="27" t="s">
        <v>90</v>
      </c>
      <c r="H22" s="26" t="s">
        <v>62</v>
      </c>
      <c r="I22" s="26"/>
    </row>
    <row r="23" customFormat="false" ht="15" hidden="false" customHeight="false" outlineLevel="0" collapsed="false">
      <c r="A23" s="22" t="s">
        <v>40</v>
      </c>
      <c r="B23" s="22" t="n">
        <v>22</v>
      </c>
      <c r="C23" s="28" t="s">
        <v>8</v>
      </c>
      <c r="D23" s="29" t="s">
        <v>18</v>
      </c>
      <c r="E23" s="25" t="s">
        <v>88</v>
      </c>
      <c r="F23" s="26" t="s">
        <v>91</v>
      </c>
      <c r="G23" s="27" t="s">
        <v>92</v>
      </c>
      <c r="H23" s="26" t="s">
        <v>62</v>
      </c>
      <c r="I23" s="26"/>
    </row>
    <row r="24" customFormat="false" ht="23.85" hidden="false" customHeight="false" outlineLevel="0" collapsed="false">
      <c r="A24" s="22" t="s">
        <v>40</v>
      </c>
      <c r="B24" s="22" t="n">
        <v>23</v>
      </c>
      <c r="C24" s="28" t="s">
        <v>8</v>
      </c>
      <c r="D24" s="29" t="s">
        <v>18</v>
      </c>
      <c r="E24" s="25" t="s">
        <v>88</v>
      </c>
      <c r="F24" s="26" t="s">
        <v>93</v>
      </c>
      <c r="G24" s="27" t="s">
        <v>94</v>
      </c>
      <c r="H24" s="26" t="s">
        <v>62</v>
      </c>
      <c r="I24" s="26"/>
    </row>
    <row r="25" customFormat="false" ht="23.85" hidden="false" customHeight="false" outlineLevel="0" collapsed="false">
      <c r="A25" s="22" t="s">
        <v>40</v>
      </c>
      <c r="B25" s="22" t="n">
        <v>24</v>
      </c>
      <c r="C25" s="28" t="s">
        <v>8</v>
      </c>
      <c r="D25" s="29" t="s">
        <v>18</v>
      </c>
      <c r="E25" s="25" t="s">
        <v>88</v>
      </c>
      <c r="F25" s="26" t="s">
        <v>95</v>
      </c>
      <c r="G25" s="27" t="s">
        <v>96</v>
      </c>
      <c r="H25" s="26" t="s">
        <v>49</v>
      </c>
      <c r="I25" s="26" t="s">
        <v>91</v>
      </c>
    </row>
    <row r="26" customFormat="false" ht="15" hidden="false" customHeight="false" outlineLevel="0" collapsed="false">
      <c r="A26" s="22" t="s">
        <v>40</v>
      </c>
      <c r="B26" s="22" t="n">
        <v>25</v>
      </c>
      <c r="C26" s="28" t="s">
        <v>8</v>
      </c>
      <c r="D26" s="29" t="s">
        <v>18</v>
      </c>
      <c r="E26" s="25" t="s">
        <v>88</v>
      </c>
      <c r="F26" s="26" t="s">
        <v>97</v>
      </c>
      <c r="G26" s="27" t="s">
        <v>98</v>
      </c>
      <c r="H26" s="26" t="s">
        <v>49</v>
      </c>
      <c r="I26" s="26" t="s">
        <v>89</v>
      </c>
    </row>
    <row r="27" customFormat="false" ht="15" hidden="false" customHeight="false" outlineLevel="0" collapsed="false">
      <c r="A27" s="22" t="s">
        <v>40</v>
      </c>
      <c r="B27" s="22" t="n">
        <v>26</v>
      </c>
      <c r="C27" s="28" t="s">
        <v>8</v>
      </c>
      <c r="D27" s="29" t="s">
        <v>18</v>
      </c>
      <c r="E27" s="25" t="s">
        <v>88</v>
      </c>
      <c r="F27" s="26" t="s">
        <v>99</v>
      </c>
      <c r="G27" s="27" t="s">
        <v>100</v>
      </c>
      <c r="H27" s="26" t="s">
        <v>49</v>
      </c>
      <c r="I27" s="26" t="s">
        <v>93</v>
      </c>
    </row>
    <row r="28" customFormat="false" ht="15" hidden="false" customHeight="false" outlineLevel="0" collapsed="false">
      <c r="A28" s="22" t="s">
        <v>40</v>
      </c>
      <c r="B28" s="22" t="n">
        <v>27</v>
      </c>
      <c r="C28" s="28" t="s">
        <v>8</v>
      </c>
      <c r="D28" s="29" t="s">
        <v>18</v>
      </c>
      <c r="E28" s="25" t="s">
        <v>88</v>
      </c>
      <c r="F28" s="26" t="s">
        <v>101</v>
      </c>
      <c r="G28" s="27" t="s">
        <v>102</v>
      </c>
      <c r="H28" s="26" t="s">
        <v>49</v>
      </c>
      <c r="I28" s="26" t="s">
        <v>97</v>
      </c>
    </row>
    <row r="29" customFormat="false" ht="15" hidden="false" customHeight="false" outlineLevel="0" collapsed="false">
      <c r="A29" s="22" t="s">
        <v>40</v>
      </c>
      <c r="B29" s="22" t="n">
        <v>28</v>
      </c>
      <c r="C29" s="28" t="s">
        <v>8</v>
      </c>
      <c r="D29" s="29" t="s">
        <v>18</v>
      </c>
      <c r="E29" s="25" t="s">
        <v>88</v>
      </c>
      <c r="F29" s="26" t="s">
        <v>103</v>
      </c>
      <c r="G29" s="27" t="s">
        <v>104</v>
      </c>
      <c r="H29" s="26" t="s">
        <v>49</v>
      </c>
      <c r="I29" s="26" t="s">
        <v>95</v>
      </c>
    </row>
    <row r="30" customFormat="false" ht="15" hidden="false" customHeight="false" outlineLevel="0" collapsed="false">
      <c r="A30" s="22" t="s">
        <v>40</v>
      </c>
      <c r="B30" s="22" t="n">
        <v>29</v>
      </c>
      <c r="C30" s="28" t="s">
        <v>8</v>
      </c>
      <c r="D30" s="29" t="s">
        <v>18</v>
      </c>
      <c r="E30" s="25" t="s">
        <v>88</v>
      </c>
      <c r="F30" s="26" t="s">
        <v>105</v>
      </c>
      <c r="G30" s="27" t="s">
        <v>106</v>
      </c>
      <c r="H30" s="26" t="s">
        <v>49</v>
      </c>
      <c r="I30" s="26" t="s">
        <v>95</v>
      </c>
    </row>
    <row r="31" customFormat="false" ht="15" hidden="false" customHeight="false" outlineLevel="0" collapsed="false">
      <c r="A31" s="22" t="s">
        <v>40</v>
      </c>
      <c r="B31" s="22" t="n">
        <v>30</v>
      </c>
      <c r="C31" s="28" t="s">
        <v>8</v>
      </c>
      <c r="D31" s="29" t="s">
        <v>18</v>
      </c>
      <c r="E31" s="25" t="s">
        <v>107</v>
      </c>
      <c r="F31" s="26" t="s">
        <v>108</v>
      </c>
      <c r="G31" s="27" t="s">
        <v>109</v>
      </c>
      <c r="H31" s="26" t="s">
        <v>49</v>
      </c>
      <c r="I31" s="26" t="s">
        <v>88</v>
      </c>
    </row>
    <row r="32" customFormat="false" ht="15" hidden="false" customHeight="false" outlineLevel="0" collapsed="false">
      <c r="A32" s="22" t="s">
        <v>40</v>
      </c>
      <c r="B32" s="22" t="n">
        <v>31</v>
      </c>
      <c r="C32" s="28" t="s">
        <v>8</v>
      </c>
      <c r="D32" s="29" t="s">
        <v>18</v>
      </c>
      <c r="E32" s="25" t="s">
        <v>107</v>
      </c>
      <c r="F32" s="26" t="s">
        <v>110</v>
      </c>
      <c r="G32" s="27" t="s">
        <v>111</v>
      </c>
      <c r="H32" s="26" t="s">
        <v>52</v>
      </c>
      <c r="I32" s="26" t="s">
        <v>108</v>
      </c>
    </row>
    <row r="33" customFormat="false" ht="15" hidden="false" customHeight="false" outlineLevel="0" collapsed="false">
      <c r="A33" s="22" t="s">
        <v>40</v>
      </c>
      <c r="B33" s="22" t="n">
        <v>32</v>
      </c>
      <c r="C33" s="28" t="s">
        <v>8</v>
      </c>
      <c r="D33" s="29" t="s">
        <v>18</v>
      </c>
      <c r="E33" s="25" t="s">
        <v>107</v>
      </c>
      <c r="F33" s="26" t="s">
        <v>112</v>
      </c>
      <c r="G33" s="27" t="s">
        <v>113</v>
      </c>
      <c r="H33" s="26" t="s">
        <v>49</v>
      </c>
      <c r="I33" s="26" t="s">
        <v>88</v>
      </c>
    </row>
    <row r="34" customFormat="false" ht="15" hidden="false" customHeight="false" outlineLevel="0" collapsed="false">
      <c r="A34" s="22" t="s">
        <v>40</v>
      </c>
      <c r="B34" s="22" t="n">
        <v>33</v>
      </c>
      <c r="C34" s="28" t="s">
        <v>8</v>
      </c>
      <c r="D34" s="29" t="s">
        <v>18</v>
      </c>
      <c r="E34" s="25" t="s">
        <v>107</v>
      </c>
      <c r="F34" s="26" t="s">
        <v>114</v>
      </c>
      <c r="G34" s="27" t="s">
        <v>115</v>
      </c>
      <c r="H34" s="26" t="s">
        <v>49</v>
      </c>
      <c r="I34" s="26"/>
    </row>
    <row r="35" customFormat="false" ht="15" hidden="false" customHeight="false" outlineLevel="0" collapsed="false">
      <c r="A35" s="22" t="s">
        <v>40</v>
      </c>
      <c r="B35" s="22" t="n">
        <v>34</v>
      </c>
      <c r="C35" s="28" t="s">
        <v>8</v>
      </c>
      <c r="D35" s="29" t="s">
        <v>18</v>
      </c>
      <c r="E35" s="25" t="s">
        <v>107</v>
      </c>
      <c r="F35" s="26" t="s">
        <v>116</v>
      </c>
      <c r="G35" s="27" t="s">
        <v>117</v>
      </c>
      <c r="H35" s="26" t="s">
        <v>24</v>
      </c>
      <c r="I35" s="26" t="s">
        <v>112</v>
      </c>
    </row>
    <row r="36" customFormat="false" ht="15" hidden="false" customHeight="false" outlineLevel="0" collapsed="false">
      <c r="A36" s="22" t="s">
        <v>40</v>
      </c>
      <c r="B36" s="22" t="n">
        <v>35</v>
      </c>
      <c r="C36" s="28" t="s">
        <v>8</v>
      </c>
      <c r="D36" s="29" t="s">
        <v>18</v>
      </c>
      <c r="E36" s="25" t="s">
        <v>118</v>
      </c>
      <c r="F36" s="26" t="s">
        <v>119</v>
      </c>
      <c r="G36" s="27" t="s">
        <v>120</v>
      </c>
      <c r="H36" s="26" t="s">
        <v>49</v>
      </c>
      <c r="I36" s="26"/>
    </row>
    <row r="37" customFormat="false" ht="15" hidden="false" customHeight="false" outlineLevel="0" collapsed="false">
      <c r="A37" s="22" t="s">
        <v>40</v>
      </c>
      <c r="B37" s="22" t="n">
        <v>36</v>
      </c>
      <c r="C37" s="28" t="s">
        <v>8</v>
      </c>
      <c r="D37" s="29" t="s">
        <v>18</v>
      </c>
      <c r="E37" s="25" t="s">
        <v>118</v>
      </c>
      <c r="F37" s="26" t="s">
        <v>121</v>
      </c>
      <c r="G37" s="27" t="s">
        <v>122</v>
      </c>
      <c r="H37" s="26" t="s">
        <v>49</v>
      </c>
      <c r="I37" s="26"/>
    </row>
    <row r="38" customFormat="false" ht="15" hidden="false" customHeight="false" outlineLevel="0" collapsed="false">
      <c r="A38" s="22" t="s">
        <v>40</v>
      </c>
      <c r="B38" s="22" t="n">
        <v>37</v>
      </c>
      <c r="C38" s="28" t="s">
        <v>8</v>
      </c>
      <c r="D38" s="29" t="s">
        <v>18</v>
      </c>
      <c r="E38" s="25" t="s">
        <v>118</v>
      </c>
      <c r="F38" s="26" t="s">
        <v>123</v>
      </c>
      <c r="G38" s="27" t="s">
        <v>124</v>
      </c>
      <c r="H38" s="26" t="s">
        <v>52</v>
      </c>
      <c r="I38" s="26"/>
    </row>
    <row r="39" customFormat="false" ht="15" hidden="false" customHeight="false" outlineLevel="0" collapsed="false">
      <c r="A39" s="22" t="s">
        <v>40</v>
      </c>
      <c r="B39" s="22" t="n">
        <v>38</v>
      </c>
      <c r="C39" s="28" t="s">
        <v>8</v>
      </c>
      <c r="D39" s="29" t="s">
        <v>18</v>
      </c>
      <c r="E39" s="25" t="s">
        <v>118</v>
      </c>
      <c r="F39" s="26" t="s">
        <v>125</v>
      </c>
      <c r="G39" s="27" t="s">
        <v>126</v>
      </c>
      <c r="H39" s="26" t="s">
        <v>49</v>
      </c>
      <c r="I39" s="26"/>
    </row>
    <row r="40" customFormat="false" ht="15" hidden="false" customHeight="false" outlineLevel="0" collapsed="false">
      <c r="A40" s="22" t="s">
        <v>40</v>
      </c>
      <c r="B40" s="22" t="n">
        <v>39</v>
      </c>
      <c r="C40" s="28" t="s">
        <v>8</v>
      </c>
      <c r="D40" s="29" t="s">
        <v>18</v>
      </c>
      <c r="E40" s="25" t="s">
        <v>127</v>
      </c>
      <c r="F40" s="26" t="s">
        <v>128</v>
      </c>
      <c r="G40" s="27" t="s">
        <v>129</v>
      </c>
      <c r="H40" s="26" t="s">
        <v>62</v>
      </c>
      <c r="I40" s="26"/>
    </row>
    <row r="41" customFormat="false" ht="15" hidden="false" customHeight="false" outlineLevel="0" collapsed="false">
      <c r="A41" s="22" t="s">
        <v>40</v>
      </c>
      <c r="B41" s="22" t="n">
        <v>40</v>
      </c>
      <c r="C41" s="28" t="s">
        <v>8</v>
      </c>
      <c r="D41" s="29" t="s">
        <v>18</v>
      </c>
      <c r="E41" s="25" t="s">
        <v>127</v>
      </c>
      <c r="F41" s="26" t="s">
        <v>130</v>
      </c>
      <c r="G41" s="27" t="s">
        <v>131</v>
      </c>
      <c r="H41" s="26" t="s">
        <v>49</v>
      </c>
      <c r="I41" s="26" t="s">
        <v>128</v>
      </c>
    </row>
    <row r="42" customFormat="false" ht="15" hidden="false" customHeight="false" outlineLevel="0" collapsed="false">
      <c r="A42" s="22" t="s">
        <v>40</v>
      </c>
      <c r="B42" s="22" t="n">
        <v>41</v>
      </c>
      <c r="C42" s="28" t="s">
        <v>8</v>
      </c>
      <c r="D42" s="29" t="s">
        <v>18</v>
      </c>
      <c r="E42" s="25" t="s">
        <v>127</v>
      </c>
      <c r="F42" s="26" t="s">
        <v>132</v>
      </c>
      <c r="G42" s="27" t="s">
        <v>133</v>
      </c>
      <c r="H42" s="26" t="s">
        <v>49</v>
      </c>
      <c r="I42" s="26" t="s">
        <v>128</v>
      </c>
    </row>
    <row r="43" customFormat="false" ht="15" hidden="false" customHeight="false" outlineLevel="0" collapsed="false">
      <c r="A43" s="22" t="s">
        <v>40</v>
      </c>
      <c r="B43" s="22" t="n">
        <v>42</v>
      </c>
      <c r="C43" s="28" t="s">
        <v>8</v>
      </c>
      <c r="D43" s="29" t="s">
        <v>18</v>
      </c>
      <c r="E43" s="25" t="s">
        <v>127</v>
      </c>
      <c r="F43" s="26" t="s">
        <v>134</v>
      </c>
      <c r="G43" s="27" t="s">
        <v>135</v>
      </c>
      <c r="H43" s="26" t="s">
        <v>49</v>
      </c>
      <c r="I43" s="26"/>
    </row>
    <row r="44" customFormat="false" ht="15" hidden="false" customHeight="false" outlineLevel="0" collapsed="false">
      <c r="A44" s="22" t="s">
        <v>40</v>
      </c>
      <c r="B44" s="22" t="n">
        <v>43</v>
      </c>
      <c r="C44" s="30" t="s">
        <v>9</v>
      </c>
      <c r="D44" s="29" t="s">
        <v>18</v>
      </c>
      <c r="E44" s="25" t="s">
        <v>136</v>
      </c>
      <c r="F44" s="26" t="s">
        <v>137</v>
      </c>
      <c r="G44" s="27" t="s">
        <v>138</v>
      </c>
      <c r="H44" s="26" t="s">
        <v>62</v>
      </c>
      <c r="I44" s="26" t="s">
        <v>57</v>
      </c>
    </row>
    <row r="45" customFormat="false" ht="15" hidden="false" customHeight="false" outlineLevel="0" collapsed="false">
      <c r="A45" s="22" t="s">
        <v>40</v>
      </c>
      <c r="B45" s="22" t="n">
        <v>44</v>
      </c>
      <c r="C45" s="30" t="s">
        <v>9</v>
      </c>
      <c r="D45" s="29" t="s">
        <v>18</v>
      </c>
      <c r="E45" s="25" t="s">
        <v>136</v>
      </c>
      <c r="F45" s="26" t="s">
        <v>139</v>
      </c>
      <c r="G45" s="27" t="s">
        <v>140</v>
      </c>
      <c r="H45" s="26" t="s">
        <v>49</v>
      </c>
      <c r="I45" s="26" t="s">
        <v>137</v>
      </c>
    </row>
    <row r="46" customFormat="false" ht="15" hidden="false" customHeight="false" outlineLevel="0" collapsed="false">
      <c r="A46" s="22" t="s">
        <v>40</v>
      </c>
      <c r="B46" s="22" t="n">
        <v>45</v>
      </c>
      <c r="C46" s="30" t="s">
        <v>9</v>
      </c>
      <c r="D46" s="29" t="s">
        <v>18</v>
      </c>
      <c r="E46" s="25" t="s">
        <v>136</v>
      </c>
      <c r="F46" s="26" t="s">
        <v>141</v>
      </c>
      <c r="G46" s="27" t="s">
        <v>142</v>
      </c>
      <c r="H46" s="26" t="s">
        <v>49</v>
      </c>
      <c r="I46" s="26" t="s">
        <v>139</v>
      </c>
    </row>
    <row r="47" customFormat="false" ht="15" hidden="false" customHeight="false" outlineLevel="0" collapsed="false">
      <c r="A47" s="22" t="s">
        <v>40</v>
      </c>
      <c r="B47" s="22" t="n">
        <v>46</v>
      </c>
      <c r="C47" s="30" t="s">
        <v>9</v>
      </c>
      <c r="D47" s="29" t="s">
        <v>18</v>
      </c>
      <c r="E47" s="25" t="s">
        <v>136</v>
      </c>
      <c r="F47" s="26" t="s">
        <v>143</v>
      </c>
      <c r="G47" s="27" t="s">
        <v>144</v>
      </c>
      <c r="H47" s="26" t="s">
        <v>49</v>
      </c>
      <c r="I47" s="26" t="s">
        <v>141</v>
      </c>
    </row>
    <row r="48" customFormat="false" ht="23.85" hidden="false" customHeight="false" outlineLevel="0" collapsed="false">
      <c r="A48" s="22" t="s">
        <v>40</v>
      </c>
      <c r="B48" s="22" t="n">
        <v>47</v>
      </c>
      <c r="C48" s="30" t="s">
        <v>9</v>
      </c>
      <c r="D48" s="29" t="s">
        <v>18</v>
      </c>
      <c r="E48" s="25" t="s">
        <v>136</v>
      </c>
      <c r="F48" s="26" t="s">
        <v>145</v>
      </c>
      <c r="G48" s="27" t="s">
        <v>146</v>
      </c>
      <c r="H48" s="26" t="s">
        <v>49</v>
      </c>
      <c r="I48" s="26" t="s">
        <v>141</v>
      </c>
    </row>
    <row r="49" customFormat="false" ht="23.85" hidden="false" customHeight="false" outlineLevel="0" collapsed="false">
      <c r="A49" s="22" t="s">
        <v>40</v>
      </c>
      <c r="B49" s="22" t="n">
        <v>48</v>
      </c>
      <c r="C49" s="30" t="s">
        <v>9</v>
      </c>
      <c r="D49" s="29" t="s">
        <v>18</v>
      </c>
      <c r="E49" s="25" t="s">
        <v>147</v>
      </c>
      <c r="F49" s="26" t="s">
        <v>148</v>
      </c>
      <c r="G49" s="27" t="s">
        <v>149</v>
      </c>
      <c r="H49" s="26" t="s">
        <v>62</v>
      </c>
      <c r="I49" s="26"/>
    </row>
    <row r="50" customFormat="false" ht="23.85" hidden="false" customHeight="false" outlineLevel="0" collapsed="false">
      <c r="A50" s="22" t="s">
        <v>40</v>
      </c>
      <c r="B50" s="22" t="n">
        <v>49</v>
      </c>
      <c r="C50" s="30" t="s">
        <v>9</v>
      </c>
      <c r="D50" s="29" t="s">
        <v>18</v>
      </c>
      <c r="E50" s="25" t="s">
        <v>147</v>
      </c>
      <c r="F50" s="26" t="s">
        <v>150</v>
      </c>
      <c r="G50" s="27" t="s">
        <v>151</v>
      </c>
      <c r="H50" s="26" t="s">
        <v>49</v>
      </c>
      <c r="I50" s="26" t="s">
        <v>148</v>
      </c>
    </row>
    <row r="51" customFormat="false" ht="23.85" hidden="false" customHeight="false" outlineLevel="0" collapsed="false">
      <c r="A51" s="22" t="s">
        <v>40</v>
      </c>
      <c r="B51" s="22" t="n">
        <v>50</v>
      </c>
      <c r="C51" s="30" t="s">
        <v>9</v>
      </c>
      <c r="D51" s="29" t="s">
        <v>18</v>
      </c>
      <c r="E51" s="25" t="s">
        <v>147</v>
      </c>
      <c r="F51" s="26" t="s">
        <v>152</v>
      </c>
      <c r="G51" s="27" t="s">
        <v>153</v>
      </c>
      <c r="H51" s="26" t="s">
        <v>62</v>
      </c>
      <c r="I51" s="26"/>
    </row>
    <row r="52" customFormat="false" ht="23.85" hidden="false" customHeight="false" outlineLevel="0" collapsed="false">
      <c r="A52" s="22" t="s">
        <v>40</v>
      </c>
      <c r="B52" s="22" t="n">
        <v>51</v>
      </c>
      <c r="C52" s="30" t="s">
        <v>9</v>
      </c>
      <c r="D52" s="29" t="s">
        <v>18</v>
      </c>
      <c r="E52" s="25" t="s">
        <v>147</v>
      </c>
      <c r="F52" s="26" t="s">
        <v>154</v>
      </c>
      <c r="G52" s="27" t="s">
        <v>155</v>
      </c>
      <c r="H52" s="26" t="s">
        <v>49</v>
      </c>
      <c r="I52" s="26" t="s">
        <v>152</v>
      </c>
    </row>
    <row r="53" customFormat="false" ht="15" hidden="false" customHeight="false" outlineLevel="0" collapsed="false">
      <c r="A53" s="22" t="s">
        <v>40</v>
      </c>
      <c r="B53" s="22" t="n">
        <v>52</v>
      </c>
      <c r="C53" s="30" t="s">
        <v>9</v>
      </c>
      <c r="D53" s="29" t="s">
        <v>18</v>
      </c>
      <c r="E53" s="25" t="s">
        <v>156</v>
      </c>
      <c r="F53" s="26" t="s">
        <v>157</v>
      </c>
      <c r="G53" s="27" t="s">
        <v>158</v>
      </c>
      <c r="H53" s="26" t="s">
        <v>49</v>
      </c>
      <c r="I53" s="26"/>
    </row>
    <row r="54" customFormat="false" ht="15" hidden="false" customHeight="false" outlineLevel="0" collapsed="false">
      <c r="A54" s="22" t="s">
        <v>40</v>
      </c>
      <c r="B54" s="22" t="n">
        <v>53</v>
      </c>
      <c r="C54" s="30" t="s">
        <v>9</v>
      </c>
      <c r="D54" s="29" t="s">
        <v>18</v>
      </c>
      <c r="E54" s="25" t="s">
        <v>156</v>
      </c>
      <c r="F54" s="26" t="s">
        <v>159</v>
      </c>
      <c r="G54" s="27" t="s">
        <v>160</v>
      </c>
      <c r="H54" s="26" t="s">
        <v>49</v>
      </c>
      <c r="I54" s="26"/>
    </row>
    <row r="55" customFormat="false" ht="15" hidden="false" customHeight="false" outlineLevel="0" collapsed="false">
      <c r="A55" s="22" t="s">
        <v>40</v>
      </c>
      <c r="B55" s="22" t="n">
        <v>54</v>
      </c>
      <c r="C55" s="30" t="s">
        <v>9</v>
      </c>
      <c r="D55" s="29" t="s">
        <v>18</v>
      </c>
      <c r="E55" s="25" t="s">
        <v>156</v>
      </c>
      <c r="F55" s="26" t="s">
        <v>161</v>
      </c>
      <c r="G55" s="27" t="s">
        <v>162</v>
      </c>
      <c r="H55" s="26" t="s">
        <v>49</v>
      </c>
      <c r="I55" s="26"/>
    </row>
    <row r="56" customFormat="false" ht="15" hidden="false" customHeight="false" outlineLevel="0" collapsed="false">
      <c r="A56" s="22" t="s">
        <v>40</v>
      </c>
      <c r="B56" s="22" t="n">
        <v>55</v>
      </c>
      <c r="C56" s="30" t="s">
        <v>9</v>
      </c>
      <c r="D56" s="29" t="s">
        <v>18</v>
      </c>
      <c r="E56" s="25" t="s">
        <v>156</v>
      </c>
      <c r="F56" s="26" t="s">
        <v>163</v>
      </c>
      <c r="G56" s="27" t="s">
        <v>164</v>
      </c>
      <c r="H56" s="26" t="s">
        <v>49</v>
      </c>
      <c r="I56" s="26"/>
    </row>
    <row r="57" customFormat="false" ht="15" hidden="false" customHeight="false" outlineLevel="0" collapsed="false">
      <c r="A57" s="22" t="s">
        <v>40</v>
      </c>
      <c r="B57" s="22" t="n">
        <v>56</v>
      </c>
      <c r="C57" s="30" t="s">
        <v>9</v>
      </c>
      <c r="D57" s="29" t="s">
        <v>18</v>
      </c>
      <c r="E57" s="25" t="s">
        <v>156</v>
      </c>
      <c r="F57" s="26" t="s">
        <v>165</v>
      </c>
      <c r="G57" s="27" t="s">
        <v>166</v>
      </c>
      <c r="H57" s="26" t="s">
        <v>52</v>
      </c>
      <c r="I57" s="26"/>
    </row>
    <row r="58" customFormat="false" ht="15" hidden="false" customHeight="false" outlineLevel="0" collapsed="false">
      <c r="A58" s="22" t="s">
        <v>40</v>
      </c>
      <c r="B58" s="22" t="n">
        <v>57</v>
      </c>
      <c r="C58" s="30" t="s">
        <v>9</v>
      </c>
      <c r="D58" s="29" t="s">
        <v>18</v>
      </c>
      <c r="E58" s="25" t="s">
        <v>156</v>
      </c>
      <c r="F58" s="26" t="s">
        <v>167</v>
      </c>
      <c r="G58" s="27" t="s">
        <v>168</v>
      </c>
      <c r="H58" s="26" t="s">
        <v>49</v>
      </c>
      <c r="I58" s="26"/>
    </row>
    <row r="59" customFormat="false" ht="15" hidden="false" customHeight="false" outlineLevel="0" collapsed="false">
      <c r="A59" s="22" t="s">
        <v>40</v>
      </c>
      <c r="B59" s="22" t="n">
        <v>58</v>
      </c>
      <c r="C59" s="30" t="s">
        <v>9</v>
      </c>
      <c r="D59" s="29" t="s">
        <v>18</v>
      </c>
      <c r="E59" s="25" t="s">
        <v>156</v>
      </c>
      <c r="F59" s="26" t="s">
        <v>169</v>
      </c>
      <c r="G59" s="27" t="s">
        <v>170</v>
      </c>
      <c r="H59" s="26" t="s">
        <v>52</v>
      </c>
      <c r="I59" s="26"/>
    </row>
    <row r="60" customFormat="false" ht="15" hidden="false" customHeight="false" outlineLevel="0" collapsed="false">
      <c r="A60" s="22" t="s">
        <v>40</v>
      </c>
      <c r="B60" s="22" t="n">
        <v>59</v>
      </c>
      <c r="C60" s="30" t="s">
        <v>9</v>
      </c>
      <c r="D60" s="29" t="s">
        <v>18</v>
      </c>
      <c r="E60" s="25" t="s">
        <v>156</v>
      </c>
      <c r="F60" s="26" t="s">
        <v>171</v>
      </c>
      <c r="G60" s="27" t="s">
        <v>172</v>
      </c>
      <c r="H60" s="26" t="s">
        <v>52</v>
      </c>
      <c r="I60" s="26"/>
    </row>
    <row r="61" customFormat="false" ht="15" hidden="false" customHeight="false" outlineLevel="0" collapsed="false">
      <c r="A61" s="22" t="s">
        <v>40</v>
      </c>
      <c r="B61" s="22" t="n">
        <v>60</v>
      </c>
      <c r="C61" s="30" t="s">
        <v>9</v>
      </c>
      <c r="D61" s="29" t="s">
        <v>18</v>
      </c>
      <c r="E61" s="25" t="s">
        <v>156</v>
      </c>
      <c r="F61" s="26" t="s">
        <v>173</v>
      </c>
      <c r="G61" s="27" t="s">
        <v>174</v>
      </c>
      <c r="H61" s="26" t="s">
        <v>49</v>
      </c>
      <c r="I61" s="26"/>
    </row>
    <row r="62" customFormat="false" ht="15" hidden="false" customHeight="false" outlineLevel="0" collapsed="false">
      <c r="A62" s="22" t="s">
        <v>40</v>
      </c>
      <c r="B62" s="22" t="n">
        <v>61</v>
      </c>
      <c r="C62" s="31" t="s">
        <v>10</v>
      </c>
      <c r="D62" s="29" t="s">
        <v>18</v>
      </c>
      <c r="E62" s="25" t="s">
        <v>175</v>
      </c>
      <c r="F62" s="26" t="s">
        <v>176</v>
      </c>
      <c r="G62" s="27" t="s">
        <v>177</v>
      </c>
      <c r="H62" s="26" t="s">
        <v>49</v>
      </c>
      <c r="I62" s="26"/>
    </row>
    <row r="63" customFormat="false" ht="15" hidden="false" customHeight="false" outlineLevel="0" collapsed="false">
      <c r="A63" s="22" t="s">
        <v>40</v>
      </c>
      <c r="B63" s="22" t="n">
        <v>62</v>
      </c>
      <c r="C63" s="31" t="s">
        <v>10</v>
      </c>
      <c r="D63" s="29" t="s">
        <v>18</v>
      </c>
      <c r="E63" s="25" t="s">
        <v>175</v>
      </c>
      <c r="F63" s="26" t="s">
        <v>178</v>
      </c>
      <c r="G63" s="27" t="s">
        <v>179</v>
      </c>
      <c r="H63" s="26" t="s">
        <v>49</v>
      </c>
      <c r="I63" s="26"/>
    </row>
    <row r="64" customFormat="false" ht="15" hidden="false" customHeight="false" outlineLevel="0" collapsed="false">
      <c r="A64" s="22" t="s">
        <v>40</v>
      </c>
      <c r="B64" s="22" t="n">
        <v>63</v>
      </c>
      <c r="C64" s="31" t="s">
        <v>10</v>
      </c>
      <c r="D64" s="29" t="s">
        <v>18</v>
      </c>
      <c r="E64" s="25" t="s">
        <v>175</v>
      </c>
      <c r="F64" s="26" t="s">
        <v>180</v>
      </c>
      <c r="G64" s="27" t="s">
        <v>181</v>
      </c>
      <c r="H64" s="26" t="s">
        <v>49</v>
      </c>
      <c r="I64" s="26"/>
    </row>
    <row r="65" customFormat="false" ht="15" hidden="false" customHeight="false" outlineLevel="0" collapsed="false">
      <c r="A65" s="22" t="s">
        <v>40</v>
      </c>
      <c r="B65" s="22" t="n">
        <v>64</v>
      </c>
      <c r="C65" s="31" t="s">
        <v>10</v>
      </c>
      <c r="D65" s="29" t="s">
        <v>18</v>
      </c>
      <c r="E65" s="25" t="s">
        <v>175</v>
      </c>
      <c r="F65" s="26" t="s">
        <v>182</v>
      </c>
      <c r="G65" s="27" t="s">
        <v>183</v>
      </c>
      <c r="H65" s="26" t="s">
        <v>49</v>
      </c>
      <c r="I65" s="26"/>
    </row>
    <row r="66" customFormat="false" ht="15" hidden="false" customHeight="false" outlineLevel="0" collapsed="false">
      <c r="A66" s="22" t="s">
        <v>40</v>
      </c>
      <c r="B66" s="22" t="n">
        <v>65</v>
      </c>
      <c r="C66" s="31" t="s">
        <v>10</v>
      </c>
      <c r="D66" s="29" t="s">
        <v>18</v>
      </c>
      <c r="E66" s="25" t="s">
        <v>175</v>
      </c>
      <c r="F66" s="26" t="s">
        <v>184</v>
      </c>
      <c r="G66" s="27" t="s">
        <v>185</v>
      </c>
      <c r="H66" s="26" t="s">
        <v>49</v>
      </c>
      <c r="I66" s="26"/>
    </row>
    <row r="67" customFormat="false" ht="15" hidden="false" customHeight="false" outlineLevel="0" collapsed="false">
      <c r="A67" s="22" t="s">
        <v>40</v>
      </c>
      <c r="B67" s="22" t="n">
        <v>66</v>
      </c>
      <c r="C67" s="31" t="s">
        <v>10</v>
      </c>
      <c r="D67" s="29" t="s">
        <v>18</v>
      </c>
      <c r="E67" s="25" t="s">
        <v>175</v>
      </c>
      <c r="F67" s="26" t="s">
        <v>186</v>
      </c>
      <c r="G67" s="27" t="s">
        <v>187</v>
      </c>
      <c r="H67" s="26" t="s">
        <v>49</v>
      </c>
      <c r="I67" s="26"/>
    </row>
    <row r="68" customFormat="false" ht="15" hidden="false" customHeight="false" outlineLevel="0" collapsed="false">
      <c r="A68" s="22" t="s">
        <v>40</v>
      </c>
      <c r="B68" s="22" t="n">
        <v>67</v>
      </c>
      <c r="C68" s="31" t="s">
        <v>10</v>
      </c>
      <c r="D68" s="29" t="s">
        <v>18</v>
      </c>
      <c r="E68" s="25" t="s">
        <v>175</v>
      </c>
      <c r="F68" s="26" t="s">
        <v>188</v>
      </c>
      <c r="G68" s="27" t="s">
        <v>189</v>
      </c>
      <c r="H68" s="26" t="s">
        <v>49</v>
      </c>
      <c r="I68" s="26"/>
    </row>
    <row r="69" customFormat="false" ht="15" hidden="false" customHeight="false" outlineLevel="0" collapsed="false">
      <c r="A69" s="22" t="s">
        <v>40</v>
      </c>
      <c r="B69" s="22" t="n">
        <v>68</v>
      </c>
      <c r="C69" s="31" t="s">
        <v>10</v>
      </c>
      <c r="D69" s="29" t="s">
        <v>18</v>
      </c>
      <c r="E69" s="25" t="s">
        <v>190</v>
      </c>
      <c r="F69" s="26" t="s">
        <v>191</v>
      </c>
      <c r="G69" s="27" t="s">
        <v>192</v>
      </c>
      <c r="H69" s="26" t="s">
        <v>62</v>
      </c>
      <c r="I69" s="26" t="s">
        <v>152</v>
      </c>
    </row>
    <row r="70" customFormat="false" ht="15" hidden="false" customHeight="false" outlineLevel="0" collapsed="false">
      <c r="A70" s="22" t="s">
        <v>40</v>
      </c>
      <c r="B70" s="22" t="n">
        <v>69</v>
      </c>
      <c r="C70" s="31" t="s">
        <v>10</v>
      </c>
      <c r="D70" s="29" t="s">
        <v>18</v>
      </c>
      <c r="E70" s="25" t="s">
        <v>190</v>
      </c>
      <c r="F70" s="26" t="s">
        <v>193</v>
      </c>
      <c r="G70" s="27" t="s">
        <v>194</v>
      </c>
      <c r="H70" s="26" t="s">
        <v>49</v>
      </c>
      <c r="I70" s="26" t="s">
        <v>191</v>
      </c>
    </row>
    <row r="71" customFormat="false" ht="15" hidden="false" customHeight="false" outlineLevel="0" collapsed="false">
      <c r="A71" s="22" t="s">
        <v>40</v>
      </c>
      <c r="B71" s="22" t="n">
        <v>70</v>
      </c>
      <c r="C71" s="31" t="s">
        <v>10</v>
      </c>
      <c r="D71" s="29" t="s">
        <v>18</v>
      </c>
      <c r="E71" s="25" t="s">
        <v>190</v>
      </c>
      <c r="F71" s="26" t="s">
        <v>195</v>
      </c>
      <c r="G71" s="27" t="s">
        <v>196</v>
      </c>
      <c r="H71" s="26" t="s">
        <v>52</v>
      </c>
      <c r="I71" s="26" t="s">
        <v>193</v>
      </c>
    </row>
    <row r="72" customFormat="false" ht="15" hidden="false" customHeight="false" outlineLevel="0" collapsed="false">
      <c r="A72" s="22" t="s">
        <v>40</v>
      </c>
      <c r="B72" s="22" t="n">
        <v>71</v>
      </c>
      <c r="C72" s="31" t="s">
        <v>10</v>
      </c>
      <c r="D72" s="32" t="s">
        <v>22</v>
      </c>
      <c r="E72" s="25" t="s">
        <v>197</v>
      </c>
      <c r="F72" s="26" t="s">
        <v>198</v>
      </c>
      <c r="G72" s="27" t="s">
        <v>199</v>
      </c>
      <c r="H72" s="26" t="s">
        <v>44</v>
      </c>
      <c r="I72" s="26"/>
    </row>
    <row r="73" customFormat="false" ht="15" hidden="false" customHeight="false" outlineLevel="0" collapsed="false">
      <c r="A73" s="22" t="s">
        <v>40</v>
      </c>
      <c r="B73" s="22" t="n">
        <v>72</v>
      </c>
      <c r="C73" s="31" t="s">
        <v>10</v>
      </c>
      <c r="D73" s="33" t="s">
        <v>24</v>
      </c>
      <c r="E73" s="25" t="s">
        <v>200</v>
      </c>
      <c r="F73" s="26" t="s">
        <v>201</v>
      </c>
      <c r="G73" s="27" t="s">
        <v>202</v>
      </c>
      <c r="H73" s="26" t="s">
        <v>24</v>
      </c>
      <c r="I73" s="26"/>
    </row>
    <row r="74" customFormat="false" ht="15" hidden="false" customHeight="false" outlineLevel="0" collapsed="false">
      <c r="A74" s="22" t="s">
        <v>40</v>
      </c>
      <c r="B74" s="22" t="n">
        <v>73</v>
      </c>
      <c r="C74" s="31" t="s">
        <v>10</v>
      </c>
      <c r="D74" s="33" t="s">
        <v>24</v>
      </c>
      <c r="E74" s="25" t="s">
        <v>200</v>
      </c>
      <c r="F74" s="26" t="s">
        <v>203</v>
      </c>
      <c r="G74" s="27" t="s">
        <v>204</v>
      </c>
      <c r="H74" s="26" t="s">
        <v>24</v>
      </c>
      <c r="I74" s="26"/>
    </row>
    <row r="75" customFormat="false" ht="15" hidden="false" customHeight="false" outlineLevel="0" collapsed="false">
      <c r="A75" s="22" t="s">
        <v>40</v>
      </c>
      <c r="B75" s="22" t="n">
        <v>74</v>
      </c>
      <c r="C75" s="31" t="s">
        <v>10</v>
      </c>
      <c r="D75" s="33" t="s">
        <v>24</v>
      </c>
      <c r="E75" s="25" t="s">
        <v>200</v>
      </c>
      <c r="F75" s="26" t="s">
        <v>205</v>
      </c>
      <c r="G75" s="27" t="s">
        <v>206</v>
      </c>
      <c r="H75" s="26" t="s">
        <v>24</v>
      </c>
      <c r="I75" s="26"/>
    </row>
    <row r="76" customFormat="false" ht="15" hidden="false" customHeight="false" outlineLevel="0" collapsed="false">
      <c r="A76" s="22" t="s">
        <v>40</v>
      </c>
      <c r="B76" s="22" t="n">
        <v>75</v>
      </c>
      <c r="C76" s="31" t="s">
        <v>10</v>
      </c>
      <c r="D76" s="33" t="s">
        <v>24</v>
      </c>
      <c r="E76" s="25" t="s">
        <v>200</v>
      </c>
      <c r="F76" s="26" t="s">
        <v>207</v>
      </c>
      <c r="G76" s="27" t="s">
        <v>208</v>
      </c>
      <c r="H76" s="26" t="s">
        <v>24</v>
      </c>
      <c r="I76" s="26"/>
    </row>
    <row r="77" customFormat="false" ht="15" hidden="false" customHeight="false" outlineLevel="0" collapsed="false">
      <c r="A77" s="22" t="s">
        <v>40</v>
      </c>
      <c r="B77" s="22" t="n">
        <v>76</v>
      </c>
      <c r="C77" s="31" t="s">
        <v>10</v>
      </c>
      <c r="D77" s="33" t="s">
        <v>24</v>
      </c>
      <c r="E77" s="25" t="s">
        <v>200</v>
      </c>
      <c r="F77" s="26" t="s">
        <v>209</v>
      </c>
      <c r="G77" s="27" t="s">
        <v>210</v>
      </c>
      <c r="H77" s="26" t="s">
        <v>24</v>
      </c>
      <c r="I77" s="26"/>
    </row>
    <row r="78" customFormat="false" ht="15" hidden="false" customHeight="false" outlineLevel="0" collapsed="false">
      <c r="A78" s="22" t="s">
        <v>40</v>
      </c>
      <c r="B78" s="22" t="n">
        <v>77</v>
      </c>
      <c r="C78" s="31" t="s">
        <v>10</v>
      </c>
      <c r="D78" s="33" t="s">
        <v>24</v>
      </c>
      <c r="E78" s="25" t="s">
        <v>200</v>
      </c>
      <c r="F78" s="26" t="s">
        <v>211</v>
      </c>
      <c r="G78" s="27" t="s">
        <v>212</v>
      </c>
      <c r="H78" s="26" t="s">
        <v>49</v>
      </c>
      <c r="I78" s="26"/>
    </row>
    <row r="79" customFormat="false" ht="15" hidden="false" customHeight="false" outlineLevel="0" collapsed="false">
      <c r="A79" s="22" t="s">
        <v>4</v>
      </c>
      <c r="B79" s="22" t="n">
        <v>78</v>
      </c>
      <c r="C79" s="34" t="s">
        <v>11</v>
      </c>
      <c r="D79" s="29" t="s">
        <v>18</v>
      </c>
      <c r="E79" s="25" t="s">
        <v>213</v>
      </c>
      <c r="F79" s="26" t="s">
        <v>214</v>
      </c>
      <c r="G79" s="27" t="s">
        <v>215</v>
      </c>
      <c r="H79" s="26" t="s">
        <v>52</v>
      </c>
      <c r="I79" s="26"/>
    </row>
    <row r="80" customFormat="false" ht="15" hidden="false" customHeight="false" outlineLevel="0" collapsed="false">
      <c r="A80" s="22" t="s">
        <v>40</v>
      </c>
      <c r="B80" s="22" t="n">
        <v>79</v>
      </c>
      <c r="C80" s="34" t="s">
        <v>11</v>
      </c>
      <c r="D80" s="29" t="s">
        <v>18</v>
      </c>
      <c r="E80" s="25" t="s">
        <v>213</v>
      </c>
      <c r="F80" s="26" t="s">
        <v>216</v>
      </c>
      <c r="G80" s="27" t="s">
        <v>217</v>
      </c>
      <c r="H80" s="26" t="s">
        <v>24</v>
      </c>
      <c r="I80" s="26"/>
    </row>
    <row r="81" customFormat="false" ht="15" hidden="false" customHeight="false" outlineLevel="0" collapsed="false">
      <c r="A81" s="22" t="s">
        <v>40</v>
      </c>
      <c r="B81" s="22" t="n">
        <v>80</v>
      </c>
      <c r="C81" s="34" t="s">
        <v>11</v>
      </c>
      <c r="D81" s="29" t="s">
        <v>18</v>
      </c>
      <c r="E81" s="25" t="s">
        <v>213</v>
      </c>
      <c r="F81" s="26" t="s">
        <v>218</v>
      </c>
      <c r="G81" s="27" t="s">
        <v>219</v>
      </c>
      <c r="H81" s="26" t="s">
        <v>49</v>
      </c>
      <c r="I81" s="26"/>
    </row>
    <row r="82" customFormat="false" ht="15" hidden="false" customHeight="false" outlineLevel="0" collapsed="false">
      <c r="A82" s="22" t="s">
        <v>40</v>
      </c>
      <c r="B82" s="22" t="n">
        <v>81</v>
      </c>
      <c r="C82" s="34" t="s">
        <v>11</v>
      </c>
      <c r="D82" s="29" t="s">
        <v>18</v>
      </c>
      <c r="E82" s="25" t="s">
        <v>213</v>
      </c>
      <c r="F82" s="26" t="s">
        <v>220</v>
      </c>
      <c r="G82" s="27" t="s">
        <v>221</v>
      </c>
      <c r="H82" s="26" t="s">
        <v>49</v>
      </c>
      <c r="I82" s="26"/>
    </row>
    <row r="83" customFormat="false" ht="23.85" hidden="false" customHeight="false" outlineLevel="0" collapsed="false">
      <c r="A83" s="22" t="s">
        <v>40</v>
      </c>
      <c r="B83" s="22" t="n">
        <v>82</v>
      </c>
      <c r="C83" s="34" t="s">
        <v>11</v>
      </c>
      <c r="D83" s="29" t="s">
        <v>18</v>
      </c>
      <c r="E83" s="25" t="s">
        <v>222</v>
      </c>
      <c r="F83" s="26" t="s">
        <v>223</v>
      </c>
      <c r="G83" s="27" t="s">
        <v>224</v>
      </c>
      <c r="H83" s="26" t="s">
        <v>62</v>
      </c>
      <c r="I83" s="26"/>
    </row>
    <row r="84" customFormat="false" ht="15" hidden="false" customHeight="false" outlineLevel="0" collapsed="false">
      <c r="A84" s="22" t="s">
        <v>40</v>
      </c>
      <c r="B84" s="22" t="n">
        <v>83</v>
      </c>
      <c r="C84" s="34" t="s">
        <v>11</v>
      </c>
      <c r="D84" s="29" t="s">
        <v>18</v>
      </c>
      <c r="E84" s="25" t="s">
        <v>222</v>
      </c>
      <c r="F84" s="26" t="s">
        <v>225</v>
      </c>
      <c r="G84" s="27" t="s">
        <v>226</v>
      </c>
      <c r="H84" s="26" t="s">
        <v>62</v>
      </c>
      <c r="I84" s="26"/>
    </row>
    <row r="85" customFormat="false" ht="15" hidden="false" customHeight="false" outlineLevel="0" collapsed="false">
      <c r="A85" s="22" t="s">
        <v>5</v>
      </c>
      <c r="B85" s="22" t="n">
        <v>84</v>
      </c>
      <c r="C85" s="34" t="s">
        <v>11</v>
      </c>
      <c r="D85" s="29" t="s">
        <v>18</v>
      </c>
      <c r="E85" s="25" t="s">
        <v>222</v>
      </c>
      <c r="F85" s="26" t="s">
        <v>227</v>
      </c>
      <c r="G85" s="27" t="s">
        <v>228</v>
      </c>
      <c r="H85" s="26" t="s">
        <v>49</v>
      </c>
      <c r="I85" s="26" t="s">
        <v>223</v>
      </c>
    </row>
    <row r="86" customFormat="false" ht="15" hidden="false" customHeight="false" outlineLevel="0" collapsed="false">
      <c r="A86" s="22" t="s">
        <v>5</v>
      </c>
      <c r="B86" s="22" t="n">
        <v>85</v>
      </c>
      <c r="C86" s="34" t="s">
        <v>11</v>
      </c>
      <c r="D86" s="29" t="s">
        <v>18</v>
      </c>
      <c r="E86" s="25" t="s">
        <v>222</v>
      </c>
      <c r="F86" s="26" t="s">
        <v>229</v>
      </c>
      <c r="G86" s="27" t="s">
        <v>230</v>
      </c>
      <c r="H86" s="26" t="s">
        <v>49</v>
      </c>
      <c r="I86" s="26" t="s">
        <v>225</v>
      </c>
    </row>
    <row r="87" customFormat="false" ht="15" hidden="false" customHeight="false" outlineLevel="0" collapsed="false">
      <c r="A87" s="22" t="s">
        <v>40</v>
      </c>
      <c r="B87" s="22" t="n">
        <v>86</v>
      </c>
      <c r="C87" s="34" t="s">
        <v>11</v>
      </c>
      <c r="D87" s="29" t="s">
        <v>18</v>
      </c>
      <c r="E87" s="25" t="s">
        <v>222</v>
      </c>
      <c r="F87" s="26" t="s">
        <v>231</v>
      </c>
      <c r="G87" s="27" t="s">
        <v>232</v>
      </c>
      <c r="H87" s="26" t="s">
        <v>62</v>
      </c>
      <c r="I87" s="26" t="s">
        <v>229</v>
      </c>
    </row>
    <row r="88" customFormat="false" ht="15" hidden="false" customHeight="false" outlineLevel="0" collapsed="false">
      <c r="A88" s="22" t="s">
        <v>40</v>
      </c>
      <c r="B88" s="22" t="n">
        <v>87</v>
      </c>
      <c r="C88" s="34" t="s">
        <v>11</v>
      </c>
      <c r="D88" s="29" t="s">
        <v>18</v>
      </c>
      <c r="E88" s="25" t="s">
        <v>233</v>
      </c>
      <c r="F88" s="26" t="s">
        <v>234</v>
      </c>
      <c r="G88" s="27" t="s">
        <v>235</v>
      </c>
      <c r="H88" s="26" t="s">
        <v>62</v>
      </c>
      <c r="I88" s="26"/>
    </row>
    <row r="89" customFormat="false" ht="15" hidden="false" customHeight="false" outlineLevel="0" collapsed="false">
      <c r="A89" s="22" t="s">
        <v>40</v>
      </c>
      <c r="B89" s="22" t="n">
        <v>88</v>
      </c>
      <c r="C89" s="34" t="s">
        <v>11</v>
      </c>
      <c r="D89" s="29" t="s">
        <v>18</v>
      </c>
      <c r="E89" s="25" t="s">
        <v>233</v>
      </c>
      <c r="F89" s="26" t="s">
        <v>236</v>
      </c>
      <c r="G89" s="27" t="s">
        <v>237</v>
      </c>
      <c r="H89" s="26" t="s">
        <v>62</v>
      </c>
      <c r="I89" s="26"/>
    </row>
    <row r="90" customFormat="false" ht="15" hidden="false" customHeight="false" outlineLevel="0" collapsed="false">
      <c r="A90" s="22" t="s">
        <v>40</v>
      </c>
      <c r="B90" s="22" t="n">
        <v>89</v>
      </c>
      <c r="C90" s="34" t="s">
        <v>11</v>
      </c>
      <c r="D90" s="29" t="s">
        <v>18</v>
      </c>
      <c r="E90" s="25" t="s">
        <v>233</v>
      </c>
      <c r="F90" s="26" t="s">
        <v>238</v>
      </c>
      <c r="G90" s="27" t="s">
        <v>239</v>
      </c>
      <c r="H90" s="26" t="s">
        <v>62</v>
      </c>
      <c r="I90" s="26"/>
    </row>
    <row r="91" customFormat="false" ht="15" hidden="false" customHeight="false" outlineLevel="0" collapsed="false">
      <c r="A91" s="22" t="s">
        <v>40</v>
      </c>
      <c r="B91" s="22" t="n">
        <v>90</v>
      </c>
      <c r="C91" s="34" t="s">
        <v>11</v>
      </c>
      <c r="D91" s="29" t="s">
        <v>18</v>
      </c>
      <c r="E91" s="25" t="s">
        <v>233</v>
      </c>
      <c r="F91" s="26" t="s">
        <v>240</v>
      </c>
      <c r="G91" s="27" t="s">
        <v>241</v>
      </c>
      <c r="H91" s="26" t="s">
        <v>49</v>
      </c>
      <c r="I91" s="26" t="s">
        <v>234</v>
      </c>
    </row>
    <row r="92" customFormat="false" ht="15" hidden="false" customHeight="false" outlineLevel="0" collapsed="false">
      <c r="A92" s="22" t="s">
        <v>40</v>
      </c>
      <c r="B92" s="22" t="n">
        <v>91</v>
      </c>
      <c r="C92" s="34" t="s">
        <v>11</v>
      </c>
      <c r="D92" s="29" t="s">
        <v>18</v>
      </c>
      <c r="E92" s="25" t="s">
        <v>233</v>
      </c>
      <c r="F92" s="26" t="s">
        <v>242</v>
      </c>
      <c r="G92" s="27" t="s">
        <v>243</v>
      </c>
      <c r="H92" s="26" t="s">
        <v>49</v>
      </c>
      <c r="I92" s="26" t="s">
        <v>236</v>
      </c>
    </row>
    <row r="93" customFormat="false" ht="15" hidden="false" customHeight="false" outlineLevel="0" collapsed="false">
      <c r="A93" s="22" t="s">
        <v>40</v>
      </c>
      <c r="B93" s="22" t="n">
        <v>92</v>
      </c>
      <c r="C93" s="34" t="s">
        <v>11</v>
      </c>
      <c r="D93" s="29" t="s">
        <v>18</v>
      </c>
      <c r="E93" s="25" t="s">
        <v>233</v>
      </c>
      <c r="F93" s="26" t="s">
        <v>244</v>
      </c>
      <c r="G93" s="27" t="s">
        <v>245</v>
      </c>
      <c r="H93" s="26" t="s">
        <v>49</v>
      </c>
      <c r="I93" s="26" t="s">
        <v>238</v>
      </c>
    </row>
    <row r="94" customFormat="false" ht="15" hidden="false" customHeight="false" outlineLevel="0" collapsed="false">
      <c r="A94" s="22" t="s">
        <v>40</v>
      </c>
      <c r="B94" s="22" t="n">
        <v>93</v>
      </c>
      <c r="C94" s="34" t="s">
        <v>11</v>
      </c>
      <c r="D94" s="29" t="s">
        <v>18</v>
      </c>
      <c r="E94" s="25" t="s">
        <v>233</v>
      </c>
      <c r="F94" s="26" t="s">
        <v>246</v>
      </c>
      <c r="G94" s="27" t="s">
        <v>247</v>
      </c>
      <c r="H94" s="26" t="s">
        <v>52</v>
      </c>
      <c r="I94" s="26"/>
    </row>
    <row r="95" customFormat="false" ht="15" hidden="false" customHeight="false" outlineLevel="0" collapsed="false">
      <c r="A95" s="22" t="s">
        <v>40</v>
      </c>
      <c r="B95" s="22" t="n">
        <v>94</v>
      </c>
      <c r="C95" s="34" t="s">
        <v>11</v>
      </c>
      <c r="D95" s="29" t="s">
        <v>18</v>
      </c>
      <c r="E95" s="25" t="s">
        <v>233</v>
      </c>
      <c r="F95" s="26" t="s">
        <v>248</v>
      </c>
      <c r="G95" s="27" t="s">
        <v>249</v>
      </c>
      <c r="H95" s="26" t="s">
        <v>49</v>
      </c>
      <c r="I95" s="26"/>
    </row>
    <row r="96" customFormat="false" ht="23.85" hidden="false" customHeight="false" outlineLevel="0" collapsed="false">
      <c r="A96" s="22" t="s">
        <v>40</v>
      </c>
      <c r="B96" s="22" t="n">
        <v>95</v>
      </c>
      <c r="C96" s="34" t="s">
        <v>11</v>
      </c>
      <c r="D96" s="24" t="s">
        <v>20</v>
      </c>
      <c r="E96" s="25" t="s">
        <v>250</v>
      </c>
      <c r="F96" s="26" t="s">
        <v>251</v>
      </c>
      <c r="G96" s="27" t="s">
        <v>252</v>
      </c>
      <c r="H96" s="26" t="s">
        <v>49</v>
      </c>
      <c r="I96" s="26"/>
    </row>
    <row r="97" customFormat="false" ht="15" hidden="false" customHeight="false" outlineLevel="0" collapsed="false">
      <c r="A97" s="22" t="s">
        <v>40</v>
      </c>
      <c r="B97" s="22" t="n">
        <v>96</v>
      </c>
      <c r="C97" s="34" t="s">
        <v>11</v>
      </c>
      <c r="D97" s="24" t="s">
        <v>20</v>
      </c>
      <c r="E97" s="25" t="s">
        <v>250</v>
      </c>
      <c r="F97" s="26" t="s">
        <v>253</v>
      </c>
      <c r="G97" s="27" t="s">
        <v>254</v>
      </c>
      <c r="H97" s="26" t="s">
        <v>44</v>
      </c>
      <c r="I97" s="26"/>
    </row>
    <row r="98" customFormat="false" ht="15" hidden="false" customHeight="false" outlineLevel="0" collapsed="false">
      <c r="A98" s="22" t="s">
        <v>40</v>
      </c>
      <c r="B98" s="22" t="n">
        <v>97</v>
      </c>
      <c r="C98" s="35" t="s">
        <v>12</v>
      </c>
      <c r="D98" s="29" t="s">
        <v>18</v>
      </c>
      <c r="E98" s="25" t="s">
        <v>255</v>
      </c>
      <c r="F98" s="26" t="s">
        <v>256</v>
      </c>
      <c r="G98" s="27" t="s">
        <v>257</v>
      </c>
      <c r="H98" s="26" t="s">
        <v>49</v>
      </c>
      <c r="I98" s="26"/>
    </row>
    <row r="99" customFormat="false" ht="15" hidden="false" customHeight="false" outlineLevel="0" collapsed="false">
      <c r="A99" s="22" t="s">
        <v>40</v>
      </c>
      <c r="B99" s="22" t="n">
        <v>98</v>
      </c>
      <c r="C99" s="35" t="s">
        <v>12</v>
      </c>
      <c r="D99" s="29" t="s">
        <v>18</v>
      </c>
      <c r="E99" s="25" t="s">
        <v>255</v>
      </c>
      <c r="F99" s="26" t="s">
        <v>258</v>
      </c>
      <c r="G99" s="27" t="s">
        <v>259</v>
      </c>
      <c r="H99" s="26" t="s">
        <v>49</v>
      </c>
      <c r="I99" s="26"/>
    </row>
    <row r="100" customFormat="false" ht="15" hidden="false" customHeight="false" outlineLevel="0" collapsed="false">
      <c r="A100" s="22" t="s">
        <v>40</v>
      </c>
      <c r="B100" s="22" t="n">
        <v>99</v>
      </c>
      <c r="C100" s="35" t="s">
        <v>12</v>
      </c>
      <c r="D100" s="29" t="s">
        <v>18</v>
      </c>
      <c r="E100" s="25" t="s">
        <v>255</v>
      </c>
      <c r="F100" s="26" t="s">
        <v>260</v>
      </c>
      <c r="G100" s="27" t="s">
        <v>261</v>
      </c>
      <c r="H100" s="26" t="s">
        <v>49</v>
      </c>
      <c r="I100" s="26"/>
    </row>
    <row r="101" customFormat="false" ht="15" hidden="false" customHeight="false" outlineLevel="0" collapsed="false">
      <c r="A101" s="22" t="s">
        <v>40</v>
      </c>
      <c r="B101" s="22" t="n">
        <v>100</v>
      </c>
      <c r="C101" s="35" t="s">
        <v>12</v>
      </c>
      <c r="D101" s="29" t="s">
        <v>18</v>
      </c>
      <c r="E101" s="25" t="s">
        <v>255</v>
      </c>
      <c r="F101" s="26" t="s">
        <v>262</v>
      </c>
      <c r="G101" s="27" t="s">
        <v>263</v>
      </c>
      <c r="H101" s="26" t="s">
        <v>49</v>
      </c>
      <c r="I101" s="26"/>
    </row>
    <row r="102" customFormat="false" ht="15" hidden="false" customHeight="false" outlineLevel="0" collapsed="false">
      <c r="A102" s="22" t="s">
        <v>40</v>
      </c>
      <c r="B102" s="22" t="n">
        <v>101</v>
      </c>
      <c r="C102" s="35" t="s">
        <v>12</v>
      </c>
      <c r="D102" s="29" t="s">
        <v>18</v>
      </c>
      <c r="E102" s="25" t="s">
        <v>255</v>
      </c>
      <c r="F102" s="26" t="s">
        <v>264</v>
      </c>
      <c r="G102" s="27" t="s">
        <v>265</v>
      </c>
      <c r="H102" s="26" t="s">
        <v>52</v>
      </c>
      <c r="I102" s="26"/>
    </row>
    <row r="103" customFormat="false" ht="15" hidden="false" customHeight="false" outlineLevel="0" collapsed="false">
      <c r="A103" s="22" t="s">
        <v>40</v>
      </c>
      <c r="B103" s="22" t="n">
        <v>102</v>
      </c>
      <c r="C103" s="35" t="s">
        <v>12</v>
      </c>
      <c r="D103" s="29" t="s">
        <v>18</v>
      </c>
      <c r="E103" s="25" t="s">
        <v>255</v>
      </c>
      <c r="F103" s="26" t="s">
        <v>266</v>
      </c>
      <c r="G103" s="27" t="s">
        <v>267</v>
      </c>
      <c r="H103" s="26" t="s">
        <v>49</v>
      </c>
      <c r="I103" s="26"/>
    </row>
    <row r="104" customFormat="false" ht="15" hidden="false" customHeight="false" outlineLevel="0" collapsed="false">
      <c r="A104" s="22" t="s">
        <v>40</v>
      </c>
      <c r="B104" s="22" t="n">
        <v>103</v>
      </c>
      <c r="C104" s="35" t="s">
        <v>12</v>
      </c>
      <c r="D104" s="29" t="s">
        <v>18</v>
      </c>
      <c r="E104" s="25" t="s">
        <v>255</v>
      </c>
      <c r="F104" s="26" t="s">
        <v>268</v>
      </c>
      <c r="G104" s="27" t="s">
        <v>269</v>
      </c>
      <c r="H104" s="26" t="s">
        <v>49</v>
      </c>
      <c r="I104" s="26"/>
    </row>
    <row r="105" customFormat="false" ht="15" hidden="false" customHeight="false" outlineLevel="0" collapsed="false">
      <c r="A105" s="22" t="s">
        <v>40</v>
      </c>
      <c r="B105" s="22" t="n">
        <v>104</v>
      </c>
      <c r="C105" s="35" t="s">
        <v>12</v>
      </c>
      <c r="D105" s="29" t="s">
        <v>18</v>
      </c>
      <c r="E105" s="25" t="s">
        <v>270</v>
      </c>
      <c r="F105" s="26" t="s">
        <v>271</v>
      </c>
      <c r="G105" s="27" t="s">
        <v>272</v>
      </c>
      <c r="H105" s="26" t="s">
        <v>52</v>
      </c>
      <c r="I105" s="26"/>
    </row>
    <row r="106" customFormat="false" ht="15" hidden="false" customHeight="false" outlineLevel="0" collapsed="false">
      <c r="A106" s="22" t="s">
        <v>40</v>
      </c>
      <c r="B106" s="22" t="n">
        <v>105</v>
      </c>
      <c r="C106" s="35" t="s">
        <v>12</v>
      </c>
      <c r="D106" s="29" t="s">
        <v>18</v>
      </c>
      <c r="E106" s="25" t="s">
        <v>270</v>
      </c>
      <c r="F106" s="26" t="s">
        <v>273</v>
      </c>
      <c r="G106" s="27" t="s">
        <v>274</v>
      </c>
      <c r="H106" s="26" t="s">
        <v>49</v>
      </c>
      <c r="I106" s="26"/>
    </row>
    <row r="107" customFormat="false" ht="15" hidden="false" customHeight="false" outlineLevel="0" collapsed="false">
      <c r="A107" s="22" t="s">
        <v>40</v>
      </c>
      <c r="B107" s="22" t="n">
        <v>106</v>
      </c>
      <c r="C107" s="35" t="s">
        <v>12</v>
      </c>
      <c r="D107" s="29" t="s">
        <v>18</v>
      </c>
      <c r="E107" s="25" t="s">
        <v>270</v>
      </c>
      <c r="F107" s="26" t="s">
        <v>275</v>
      </c>
      <c r="G107" s="27" t="s">
        <v>276</v>
      </c>
      <c r="H107" s="26" t="s">
        <v>49</v>
      </c>
      <c r="I107" s="26"/>
    </row>
    <row r="108" customFormat="false" ht="15" hidden="false" customHeight="false" outlineLevel="0" collapsed="false">
      <c r="A108" s="22" t="s">
        <v>40</v>
      </c>
      <c r="B108" s="22" t="n">
        <v>107</v>
      </c>
      <c r="C108" s="35" t="s">
        <v>12</v>
      </c>
      <c r="D108" s="29" t="s">
        <v>18</v>
      </c>
      <c r="E108" s="25" t="s">
        <v>270</v>
      </c>
      <c r="F108" s="26" t="s">
        <v>277</v>
      </c>
      <c r="G108" s="27" t="s">
        <v>278</v>
      </c>
      <c r="H108" s="26" t="s">
        <v>49</v>
      </c>
      <c r="I108" s="26"/>
    </row>
    <row r="109" customFormat="false" ht="15" hidden="false" customHeight="false" outlineLevel="0" collapsed="false">
      <c r="A109" s="22" t="s">
        <v>40</v>
      </c>
      <c r="B109" s="22" t="n">
        <v>108</v>
      </c>
      <c r="C109" s="35" t="s">
        <v>12</v>
      </c>
      <c r="D109" s="29" t="s">
        <v>18</v>
      </c>
      <c r="E109" s="25" t="s">
        <v>279</v>
      </c>
      <c r="F109" s="26" t="s">
        <v>280</v>
      </c>
      <c r="G109" s="27"/>
      <c r="H109" s="26" t="s">
        <v>49</v>
      </c>
      <c r="I109" s="26"/>
    </row>
    <row r="110" customFormat="false" ht="15" hidden="false" customHeight="false" outlineLevel="0" collapsed="false">
      <c r="A110" s="22" t="s">
        <v>40</v>
      </c>
      <c r="B110" s="22" t="n">
        <v>109</v>
      </c>
      <c r="C110" s="35" t="s">
        <v>12</v>
      </c>
      <c r="D110" s="29" t="s">
        <v>18</v>
      </c>
      <c r="E110" s="25" t="s">
        <v>279</v>
      </c>
      <c r="F110" s="26" t="s">
        <v>281</v>
      </c>
      <c r="G110" s="27" t="s">
        <v>282</v>
      </c>
      <c r="H110" s="26" t="s">
        <v>49</v>
      </c>
      <c r="I110" s="26"/>
    </row>
    <row r="111" customFormat="false" ht="15" hidden="false" customHeight="false" outlineLevel="0" collapsed="false">
      <c r="A111" s="22" t="s">
        <v>40</v>
      </c>
      <c r="B111" s="22" t="n">
        <v>110</v>
      </c>
      <c r="C111" s="35" t="s">
        <v>12</v>
      </c>
      <c r="D111" s="29" t="s">
        <v>18</v>
      </c>
      <c r="E111" s="25" t="s">
        <v>279</v>
      </c>
      <c r="F111" s="26" t="s">
        <v>283</v>
      </c>
      <c r="G111" s="27" t="s">
        <v>284</v>
      </c>
      <c r="H111" s="26" t="s">
        <v>49</v>
      </c>
      <c r="I111" s="26"/>
    </row>
    <row r="112" customFormat="false" ht="15" hidden="false" customHeight="false" outlineLevel="0" collapsed="false">
      <c r="A112" s="22" t="s">
        <v>40</v>
      </c>
      <c r="B112" s="22" t="n">
        <v>111</v>
      </c>
      <c r="C112" s="35" t="s">
        <v>12</v>
      </c>
      <c r="D112" s="29" t="s">
        <v>18</v>
      </c>
      <c r="E112" s="25" t="s">
        <v>279</v>
      </c>
      <c r="F112" s="26" t="s">
        <v>285</v>
      </c>
      <c r="G112" s="27" t="s">
        <v>286</v>
      </c>
      <c r="H112" s="26" t="s">
        <v>49</v>
      </c>
      <c r="I112" s="26"/>
    </row>
    <row r="113" customFormat="false" ht="15" hidden="false" customHeight="false" outlineLevel="0" collapsed="false">
      <c r="A113" s="22" t="s">
        <v>40</v>
      </c>
      <c r="B113" s="22" t="n">
        <v>112</v>
      </c>
      <c r="C113" s="35" t="s">
        <v>12</v>
      </c>
      <c r="D113" s="29" t="s">
        <v>18</v>
      </c>
      <c r="E113" s="25" t="s">
        <v>279</v>
      </c>
      <c r="F113" s="26" t="s">
        <v>287</v>
      </c>
      <c r="G113" s="27"/>
      <c r="H113" s="26" t="s">
        <v>49</v>
      </c>
      <c r="I113" s="26"/>
    </row>
    <row r="114" customFormat="false" ht="15" hidden="false" customHeight="false" outlineLevel="0" collapsed="false">
      <c r="A114" s="22" t="s">
        <v>40</v>
      </c>
      <c r="B114" s="22" t="n">
        <v>113</v>
      </c>
      <c r="C114" s="35" t="s">
        <v>12</v>
      </c>
      <c r="D114" s="29" t="s">
        <v>18</v>
      </c>
      <c r="E114" s="25" t="s">
        <v>279</v>
      </c>
      <c r="F114" s="26" t="s">
        <v>288</v>
      </c>
      <c r="G114" s="27" t="s">
        <v>289</v>
      </c>
      <c r="H114" s="26" t="s">
        <v>49</v>
      </c>
      <c r="I114" s="26"/>
    </row>
    <row r="115" customFormat="false" ht="15" hidden="false" customHeight="false" outlineLevel="0" collapsed="false">
      <c r="A115" s="22" t="s">
        <v>40</v>
      </c>
      <c r="B115" s="22" t="n">
        <v>114</v>
      </c>
      <c r="C115" s="35" t="s">
        <v>12</v>
      </c>
      <c r="D115" s="29" t="s">
        <v>18</v>
      </c>
      <c r="E115" s="25" t="s">
        <v>279</v>
      </c>
      <c r="F115" s="26" t="s">
        <v>290</v>
      </c>
      <c r="G115" s="27" t="s">
        <v>291</v>
      </c>
      <c r="H115" s="26" t="s">
        <v>44</v>
      </c>
      <c r="I115" s="26"/>
    </row>
    <row r="116" customFormat="false" ht="15" hidden="false" customHeight="false" outlineLevel="0" collapsed="false">
      <c r="A116" s="22" t="s">
        <v>40</v>
      </c>
      <c r="B116" s="22" t="n">
        <v>115</v>
      </c>
      <c r="C116" s="36" t="s">
        <v>13</v>
      </c>
      <c r="D116" s="24" t="s">
        <v>20</v>
      </c>
      <c r="E116" s="25" t="s">
        <v>292</v>
      </c>
      <c r="F116" s="26" t="s">
        <v>293</v>
      </c>
      <c r="G116" s="27" t="s">
        <v>294</v>
      </c>
      <c r="H116" s="26" t="s">
        <v>49</v>
      </c>
      <c r="I116" s="26"/>
    </row>
    <row r="117" customFormat="false" ht="15" hidden="false" customHeight="false" outlineLevel="0" collapsed="false">
      <c r="A117" s="22" t="s">
        <v>40</v>
      </c>
      <c r="B117" s="22" t="n">
        <v>116</v>
      </c>
      <c r="C117" s="36" t="s">
        <v>13</v>
      </c>
      <c r="D117" s="24" t="s">
        <v>20</v>
      </c>
      <c r="E117" s="25" t="s">
        <v>292</v>
      </c>
      <c r="F117" s="26" t="s">
        <v>295</v>
      </c>
      <c r="G117" s="27" t="s">
        <v>296</v>
      </c>
      <c r="H117" s="26" t="s">
        <v>49</v>
      </c>
      <c r="I117" s="26"/>
    </row>
    <row r="118" customFormat="false" ht="15" hidden="false" customHeight="false" outlineLevel="0" collapsed="false">
      <c r="A118" s="22" t="s">
        <v>40</v>
      </c>
      <c r="B118" s="22" t="n">
        <v>117</v>
      </c>
      <c r="C118" s="36" t="s">
        <v>13</v>
      </c>
      <c r="D118" s="24" t="s">
        <v>20</v>
      </c>
      <c r="E118" s="25" t="s">
        <v>292</v>
      </c>
      <c r="F118" s="26" t="s">
        <v>297</v>
      </c>
      <c r="G118" s="27" t="s">
        <v>298</v>
      </c>
      <c r="H118" s="26" t="s">
        <v>49</v>
      </c>
      <c r="I118" s="26"/>
    </row>
    <row r="119" customFormat="false" ht="15" hidden="false" customHeight="false" outlineLevel="0" collapsed="false">
      <c r="A119" s="22" t="s">
        <v>40</v>
      </c>
      <c r="B119" s="22" t="n">
        <v>118</v>
      </c>
      <c r="C119" s="36" t="s">
        <v>13</v>
      </c>
      <c r="D119" s="24" t="s">
        <v>20</v>
      </c>
      <c r="E119" s="25" t="s">
        <v>292</v>
      </c>
      <c r="F119" s="26" t="s">
        <v>299</v>
      </c>
      <c r="G119" s="27" t="s">
        <v>300</v>
      </c>
      <c r="H119" s="26" t="s">
        <v>49</v>
      </c>
      <c r="I119" s="26"/>
    </row>
    <row r="120" customFormat="false" ht="23.85" hidden="false" customHeight="false" outlineLevel="0" collapsed="false">
      <c r="A120" s="22" t="s">
        <v>40</v>
      </c>
      <c r="B120" s="22" t="n">
        <v>119</v>
      </c>
      <c r="C120" s="36" t="s">
        <v>13</v>
      </c>
      <c r="D120" s="24" t="s">
        <v>20</v>
      </c>
      <c r="E120" s="25" t="s">
        <v>292</v>
      </c>
      <c r="F120" s="26" t="s">
        <v>301</v>
      </c>
      <c r="G120" s="27" t="s">
        <v>302</v>
      </c>
      <c r="H120" s="26" t="s">
        <v>49</v>
      </c>
      <c r="I120" s="26"/>
    </row>
    <row r="121" customFormat="false" ht="15" hidden="false" customHeight="false" outlineLevel="0" collapsed="false">
      <c r="A121" s="22" t="s">
        <v>40</v>
      </c>
      <c r="B121" s="22" t="n">
        <v>120</v>
      </c>
      <c r="C121" s="36" t="s">
        <v>13</v>
      </c>
      <c r="D121" s="24" t="s">
        <v>20</v>
      </c>
      <c r="E121" s="25" t="s">
        <v>292</v>
      </c>
      <c r="F121" s="26" t="s">
        <v>303</v>
      </c>
      <c r="G121" s="27"/>
      <c r="H121" s="26" t="s">
        <v>49</v>
      </c>
      <c r="I121" s="26"/>
    </row>
    <row r="122" customFormat="false" ht="15" hidden="false" customHeight="false" outlineLevel="0" collapsed="false">
      <c r="A122" s="22" t="s">
        <v>40</v>
      </c>
      <c r="B122" s="22" t="n">
        <v>121</v>
      </c>
      <c r="C122" s="36" t="s">
        <v>13</v>
      </c>
      <c r="D122" s="24" t="s">
        <v>20</v>
      </c>
      <c r="E122" s="25" t="s">
        <v>292</v>
      </c>
      <c r="F122" s="26" t="s">
        <v>304</v>
      </c>
      <c r="G122" s="27" t="s">
        <v>305</v>
      </c>
      <c r="H122" s="26" t="s">
        <v>49</v>
      </c>
      <c r="I122" s="26"/>
    </row>
    <row r="123" customFormat="false" ht="15" hidden="false" customHeight="false" outlineLevel="0" collapsed="false">
      <c r="A123" s="22" t="s">
        <v>40</v>
      </c>
      <c r="B123" s="22" t="n">
        <v>122</v>
      </c>
      <c r="C123" s="36" t="s">
        <v>13</v>
      </c>
      <c r="D123" s="24" t="s">
        <v>20</v>
      </c>
      <c r="E123" s="25" t="s">
        <v>292</v>
      </c>
      <c r="F123" s="26" t="s">
        <v>184</v>
      </c>
      <c r="G123" s="27" t="s">
        <v>306</v>
      </c>
      <c r="H123" s="26" t="s">
        <v>49</v>
      </c>
      <c r="I123" s="26"/>
    </row>
    <row r="124" customFormat="false" ht="15" hidden="false" customHeight="false" outlineLevel="0" collapsed="false">
      <c r="A124" s="22" t="s">
        <v>40</v>
      </c>
      <c r="B124" s="22" t="n">
        <v>123</v>
      </c>
      <c r="C124" s="36" t="s">
        <v>13</v>
      </c>
      <c r="D124" s="24" t="s">
        <v>20</v>
      </c>
      <c r="E124" s="25" t="s">
        <v>307</v>
      </c>
      <c r="F124" s="26" t="s">
        <v>308</v>
      </c>
      <c r="G124" s="27" t="s">
        <v>309</v>
      </c>
      <c r="H124" s="26" t="s">
        <v>24</v>
      </c>
      <c r="I124" s="26"/>
    </row>
    <row r="125" customFormat="false" ht="15" hidden="false" customHeight="false" outlineLevel="0" collapsed="false">
      <c r="A125" s="22" t="s">
        <v>40</v>
      </c>
      <c r="B125" s="22" t="n">
        <v>124</v>
      </c>
      <c r="C125" s="36" t="s">
        <v>13</v>
      </c>
      <c r="D125" s="24" t="s">
        <v>20</v>
      </c>
      <c r="E125" s="25" t="s">
        <v>307</v>
      </c>
      <c r="F125" s="26" t="s">
        <v>310</v>
      </c>
      <c r="G125" s="27" t="s">
        <v>311</v>
      </c>
      <c r="H125" s="26" t="s">
        <v>52</v>
      </c>
      <c r="I125" s="26"/>
    </row>
    <row r="126" customFormat="false" ht="15" hidden="false" customHeight="false" outlineLevel="0" collapsed="false">
      <c r="A126" s="22" t="s">
        <v>40</v>
      </c>
      <c r="B126" s="22" t="n">
        <v>125</v>
      </c>
      <c r="C126" s="36" t="s">
        <v>13</v>
      </c>
      <c r="D126" s="24" t="s">
        <v>20</v>
      </c>
      <c r="E126" s="25" t="s">
        <v>307</v>
      </c>
      <c r="F126" s="26" t="s">
        <v>312</v>
      </c>
      <c r="G126" s="27" t="s">
        <v>313</v>
      </c>
      <c r="H126" s="26" t="s">
        <v>24</v>
      </c>
      <c r="I126" s="26"/>
    </row>
    <row r="127" customFormat="false" ht="15" hidden="false" customHeight="false" outlineLevel="0" collapsed="false">
      <c r="A127" s="22" t="s">
        <v>40</v>
      </c>
      <c r="B127" s="22" t="n">
        <v>126</v>
      </c>
      <c r="C127" s="36" t="s">
        <v>13</v>
      </c>
      <c r="D127" s="24" t="s">
        <v>20</v>
      </c>
      <c r="E127" s="25" t="s">
        <v>314</v>
      </c>
      <c r="F127" s="26" t="s">
        <v>315</v>
      </c>
      <c r="G127" s="27" t="s">
        <v>316</v>
      </c>
      <c r="H127" s="26" t="s">
        <v>49</v>
      </c>
      <c r="I127" s="26"/>
    </row>
    <row r="128" customFormat="false" ht="15" hidden="false" customHeight="false" outlineLevel="0" collapsed="false">
      <c r="A128" s="22" t="s">
        <v>40</v>
      </c>
      <c r="B128" s="22" t="n">
        <v>127</v>
      </c>
      <c r="C128" s="36" t="s">
        <v>13</v>
      </c>
      <c r="D128" s="24" t="s">
        <v>20</v>
      </c>
      <c r="E128" s="25" t="s">
        <v>314</v>
      </c>
      <c r="F128" s="26" t="s">
        <v>317</v>
      </c>
      <c r="G128" s="27" t="s">
        <v>318</v>
      </c>
      <c r="H128" s="26" t="s">
        <v>52</v>
      </c>
      <c r="I128" s="26"/>
    </row>
    <row r="129" customFormat="false" ht="15" hidden="false" customHeight="false" outlineLevel="0" collapsed="false">
      <c r="A129" s="22" t="s">
        <v>40</v>
      </c>
      <c r="B129" s="22" t="n">
        <v>128</v>
      </c>
      <c r="C129" s="36" t="s">
        <v>13</v>
      </c>
      <c r="D129" s="24" t="s">
        <v>20</v>
      </c>
      <c r="E129" s="25" t="s">
        <v>314</v>
      </c>
      <c r="F129" s="26" t="s">
        <v>319</v>
      </c>
      <c r="G129" s="27" t="s">
        <v>320</v>
      </c>
      <c r="H129" s="26" t="s">
        <v>49</v>
      </c>
      <c r="I129" s="26"/>
    </row>
    <row r="130" customFormat="false" ht="15" hidden="false" customHeight="false" outlineLevel="0" collapsed="false">
      <c r="A130" s="22" t="s">
        <v>40</v>
      </c>
      <c r="B130" s="22" t="n">
        <v>129</v>
      </c>
      <c r="C130" s="36" t="s">
        <v>13</v>
      </c>
      <c r="D130" s="24" t="s">
        <v>20</v>
      </c>
      <c r="E130" s="25" t="s">
        <v>321</v>
      </c>
      <c r="F130" s="26" t="s">
        <v>322</v>
      </c>
      <c r="G130" s="27"/>
      <c r="H130" s="26" t="s">
        <v>62</v>
      </c>
      <c r="I130" s="26"/>
    </row>
    <row r="131" customFormat="false" ht="15" hidden="false" customHeight="false" outlineLevel="0" collapsed="false">
      <c r="A131" s="22" t="s">
        <v>40</v>
      </c>
      <c r="B131" s="22" t="n">
        <v>130</v>
      </c>
      <c r="C131" s="36" t="s">
        <v>13</v>
      </c>
      <c r="D131" s="24" t="s">
        <v>20</v>
      </c>
      <c r="E131" s="25" t="s">
        <v>321</v>
      </c>
      <c r="F131" s="26" t="s">
        <v>323</v>
      </c>
      <c r="G131" s="27"/>
      <c r="H131" s="26" t="s">
        <v>62</v>
      </c>
      <c r="I131" s="26"/>
    </row>
    <row r="132" customFormat="false" ht="15" hidden="false" customHeight="false" outlineLevel="0" collapsed="false">
      <c r="A132" s="22" t="s">
        <v>40</v>
      </c>
      <c r="B132" s="22" t="n">
        <v>131</v>
      </c>
      <c r="C132" s="36" t="s">
        <v>13</v>
      </c>
      <c r="D132" s="24" t="s">
        <v>20</v>
      </c>
      <c r="E132" s="25" t="s">
        <v>321</v>
      </c>
      <c r="F132" s="26" t="s">
        <v>324</v>
      </c>
      <c r="G132" s="27"/>
      <c r="H132" s="26" t="s">
        <v>62</v>
      </c>
      <c r="I132" s="26"/>
    </row>
    <row r="133" customFormat="false" ht="15" hidden="false" customHeight="false" outlineLevel="0" collapsed="false">
      <c r="A133" s="22" t="s">
        <v>40</v>
      </c>
      <c r="B133" s="22" t="n">
        <v>132</v>
      </c>
      <c r="C133" s="36" t="s">
        <v>13</v>
      </c>
      <c r="D133" s="24" t="s">
        <v>20</v>
      </c>
      <c r="E133" s="25" t="s">
        <v>325</v>
      </c>
      <c r="F133" s="26" t="s">
        <v>326</v>
      </c>
      <c r="G133" s="27" t="s">
        <v>327</v>
      </c>
      <c r="H133" s="26" t="s">
        <v>328</v>
      </c>
      <c r="I133" s="26"/>
    </row>
    <row r="134" customFormat="false" ht="15" hidden="false" customHeight="false" outlineLevel="0" collapsed="false">
      <c r="A134" s="22" t="s">
        <v>40</v>
      </c>
      <c r="B134" s="22" t="n">
        <v>133</v>
      </c>
      <c r="C134" s="36" t="s">
        <v>13</v>
      </c>
      <c r="D134" s="24" t="s">
        <v>20</v>
      </c>
      <c r="E134" s="25" t="s">
        <v>325</v>
      </c>
      <c r="F134" s="26" t="s">
        <v>329</v>
      </c>
      <c r="G134" s="27" t="s">
        <v>330</v>
      </c>
      <c r="H134" s="26" t="s">
        <v>328</v>
      </c>
      <c r="I134" s="26"/>
    </row>
    <row r="135" customFormat="false" ht="23.85" hidden="false" customHeight="false" outlineLevel="0" collapsed="false">
      <c r="A135" s="22" t="s">
        <v>40</v>
      </c>
      <c r="B135" s="22" t="n">
        <v>134</v>
      </c>
      <c r="C135" s="36" t="s">
        <v>13</v>
      </c>
      <c r="D135" s="24" t="s">
        <v>20</v>
      </c>
      <c r="E135" s="25" t="s">
        <v>325</v>
      </c>
      <c r="F135" s="26" t="s">
        <v>331</v>
      </c>
      <c r="G135" s="27"/>
      <c r="H135" s="26" t="s">
        <v>62</v>
      </c>
      <c r="I135" s="26"/>
    </row>
    <row r="136" customFormat="false" ht="15" hidden="false" customHeight="false" outlineLevel="0" collapsed="false">
      <c r="A136" s="22" t="s">
        <v>40</v>
      </c>
      <c r="B136" s="22" t="n">
        <v>135</v>
      </c>
      <c r="C136" s="36" t="s">
        <v>13</v>
      </c>
      <c r="D136" s="24" t="s">
        <v>20</v>
      </c>
      <c r="E136" s="25" t="s">
        <v>325</v>
      </c>
      <c r="F136" s="26" t="s">
        <v>332</v>
      </c>
      <c r="G136" s="27" t="s">
        <v>333</v>
      </c>
      <c r="H136" s="26" t="s">
        <v>62</v>
      </c>
      <c r="I136" s="26"/>
    </row>
    <row r="137" customFormat="false" ht="15" hidden="false" customHeight="false" outlineLevel="0" collapsed="false">
      <c r="A137" s="22" t="s">
        <v>40</v>
      </c>
      <c r="B137" s="22" t="n">
        <v>136</v>
      </c>
      <c r="C137" s="36" t="s">
        <v>13</v>
      </c>
      <c r="D137" s="24" t="s">
        <v>20</v>
      </c>
      <c r="E137" s="25" t="s">
        <v>325</v>
      </c>
      <c r="F137" s="26" t="s">
        <v>334</v>
      </c>
      <c r="G137" s="27"/>
      <c r="H137" s="26" t="s">
        <v>62</v>
      </c>
      <c r="I137" s="26"/>
    </row>
    <row r="138" customFormat="false" ht="15" hidden="false" customHeight="false" outlineLevel="0" collapsed="false">
      <c r="A138" s="22" t="s">
        <v>40</v>
      </c>
      <c r="B138" s="22" t="n">
        <v>137</v>
      </c>
      <c r="C138" s="36" t="s">
        <v>13</v>
      </c>
      <c r="D138" s="24" t="s">
        <v>20</v>
      </c>
      <c r="E138" s="25" t="s">
        <v>325</v>
      </c>
      <c r="F138" s="26" t="s">
        <v>335</v>
      </c>
      <c r="G138" s="27" t="s">
        <v>336</v>
      </c>
      <c r="H138" s="26" t="s">
        <v>62</v>
      </c>
      <c r="I138" s="26"/>
    </row>
    <row r="139" customFormat="false" ht="15" hidden="false" customHeight="false" outlineLevel="0" collapsed="false">
      <c r="A139" s="22" t="s">
        <v>40</v>
      </c>
      <c r="B139" s="22" t="n">
        <v>138</v>
      </c>
      <c r="C139" s="36" t="s">
        <v>13</v>
      </c>
      <c r="D139" s="24" t="s">
        <v>20</v>
      </c>
      <c r="E139" s="25" t="s">
        <v>325</v>
      </c>
      <c r="F139" s="26" t="s">
        <v>337</v>
      </c>
      <c r="G139" s="27" t="s">
        <v>338</v>
      </c>
      <c r="H139" s="26" t="s">
        <v>328</v>
      </c>
      <c r="I139" s="26"/>
    </row>
    <row r="140" customFormat="false" ht="15" hidden="false" customHeight="false" outlineLevel="0" collapsed="false">
      <c r="A140" s="22" t="s">
        <v>40</v>
      </c>
      <c r="B140" s="22" t="n">
        <v>139</v>
      </c>
      <c r="C140" s="36" t="s">
        <v>13</v>
      </c>
      <c r="D140" s="24" t="s">
        <v>20</v>
      </c>
      <c r="E140" s="25" t="s">
        <v>325</v>
      </c>
      <c r="F140" s="26" t="s">
        <v>339</v>
      </c>
      <c r="G140" s="27" t="s">
        <v>340</v>
      </c>
      <c r="H140" s="26" t="s">
        <v>328</v>
      </c>
      <c r="I140" s="26"/>
    </row>
    <row r="141" customFormat="false" ht="15" hidden="false" customHeight="false" outlineLevel="0" collapsed="false">
      <c r="A141" s="22" t="s">
        <v>40</v>
      </c>
      <c r="B141" s="22" t="n">
        <v>140</v>
      </c>
      <c r="C141" s="36" t="s">
        <v>13</v>
      </c>
      <c r="D141" s="24" t="s">
        <v>20</v>
      </c>
      <c r="E141" s="25" t="s">
        <v>341</v>
      </c>
      <c r="F141" s="26" t="s">
        <v>342</v>
      </c>
      <c r="G141" s="27"/>
      <c r="H141" s="26" t="s">
        <v>49</v>
      </c>
      <c r="I141" s="26"/>
    </row>
    <row r="142" customFormat="false" ht="15" hidden="false" customHeight="false" outlineLevel="0" collapsed="false">
      <c r="A142" s="22" t="s">
        <v>40</v>
      </c>
      <c r="B142" s="22" t="n">
        <v>141</v>
      </c>
      <c r="C142" s="36" t="s">
        <v>13</v>
      </c>
      <c r="D142" s="24" t="s">
        <v>20</v>
      </c>
      <c r="E142" s="25" t="s">
        <v>341</v>
      </c>
      <c r="F142" s="26" t="s">
        <v>343</v>
      </c>
      <c r="G142" s="27"/>
      <c r="H142" s="26" t="s">
        <v>49</v>
      </c>
      <c r="I142" s="26"/>
    </row>
    <row r="143" customFormat="false" ht="15" hidden="false" customHeight="false" outlineLevel="0" collapsed="false">
      <c r="A143" s="22" t="s">
        <v>40</v>
      </c>
      <c r="B143" s="22" t="n">
        <v>142</v>
      </c>
      <c r="C143" s="36" t="s">
        <v>13</v>
      </c>
      <c r="D143" s="24" t="s">
        <v>20</v>
      </c>
      <c r="E143" s="25" t="s">
        <v>341</v>
      </c>
      <c r="F143" s="26" t="s">
        <v>344</v>
      </c>
      <c r="G143" s="27"/>
      <c r="H143" s="26" t="s">
        <v>49</v>
      </c>
      <c r="I143" s="26"/>
    </row>
    <row r="144" customFormat="false" ht="15" hidden="false" customHeight="false" outlineLevel="0" collapsed="false">
      <c r="A144" s="22" t="s">
        <v>40</v>
      </c>
      <c r="B144" s="22" t="n">
        <v>143</v>
      </c>
      <c r="C144" s="36" t="s">
        <v>13</v>
      </c>
      <c r="D144" s="24" t="s">
        <v>20</v>
      </c>
      <c r="E144" s="25" t="s">
        <v>341</v>
      </c>
      <c r="F144" s="26" t="s">
        <v>345</v>
      </c>
      <c r="G144" s="27"/>
      <c r="H144" s="26" t="s">
        <v>49</v>
      </c>
      <c r="I144" s="26"/>
    </row>
    <row r="145" customFormat="false" ht="15" hidden="false" customHeight="false" outlineLevel="0" collapsed="false">
      <c r="A145" s="22" t="s">
        <v>40</v>
      </c>
      <c r="B145" s="22" t="n">
        <v>144</v>
      </c>
      <c r="C145" s="36" t="s">
        <v>13</v>
      </c>
      <c r="D145" s="24" t="s">
        <v>20</v>
      </c>
      <c r="E145" s="25" t="s">
        <v>341</v>
      </c>
      <c r="F145" s="26" t="s">
        <v>346</v>
      </c>
      <c r="G145" s="27"/>
      <c r="H145" s="26" t="s">
        <v>328</v>
      </c>
      <c r="I145" s="26"/>
    </row>
  </sheetData>
  <autoFilter ref="A1:I145"/>
  <conditionalFormatting sqref="A2:I145">
    <cfRule type="expression" priority="2" aboveAverage="0" equalAverage="0" bottom="0" percent="0" rank="0" text="" dxfId="18">
      <formula>$A2="✅ Terminado"</formula>
    </cfRule>
    <cfRule type="expression" priority="3" aboveAverage="0" equalAverage="0" bottom="0" percent="0" rank="0" text="" dxfId="19">
      <formula>$A2="🔄 En curso"</formula>
    </cfRule>
  </conditionalFormatting>
  <dataValidations count="1">
    <dataValidation allowBlank="false" errorStyle="stop" operator="between" showDropDown="false" showErrorMessage="false" showInputMessage="false" sqref="A2:A145" type="list">
      <formula1>"⬜ Pendiente,🔄 En curso,✅ Terminado"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2026-09-24T18:02:40Z</dcterms:created>
  <dc:creator>openpyxl</dc:creator>
  <dc:description/>
  <dc:language>en-US</dc:language>
  <cp:lastModifiedBy/>
  <dcterms:modified xsi:type="dcterms:W3CDTF">2026-09-24T18:02:40Z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